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tización" sheetId="1" state="visible" r:id="rId3"/>
    <sheet name="Detalle pricing" sheetId="2" state="visible" r:id="rId4"/>
    <sheet name="Lista precios 2026" sheetId="3" state="visible" r:id="rId5"/>
    <sheet name="Términ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<sst xmlns="http://schemas.openxmlformats.org/spreadsheetml/2006/main" count="299" uniqueCount="208">
  <si>
    <t xml:space="preserve">MACROGEN IBEROAMÉRICA</t>
  </si>
  <si>
    <t xml:space="preserve">COTIZACIÓN NGS</t>
  </si>
  <si>
    <t xml:space="preserve">Nº cotización</t>
  </si>
  <si>
    <t xml:space="preserve">MGX-2026-1184-ES</t>
  </si>
  <si>
    <t xml:space="preserve">España · Portugal · Chile · Perú</t>
  </si>
  <si>
    <t xml:space="preserve">Fecha emisión</t>
  </si>
  <si>
    <t xml:space="preserve">07/06/2026</t>
  </si>
  <si>
    <t xml:space="preserve">Validez</t>
  </si>
  <si>
    <t xml:space="preserve">07/07/2026 (30 días)</t>
  </si>
  <si>
    <t xml:space="preserve">👤  CLIENTE</t>
  </si>
  <si>
    <t xml:space="preserve">Moneda</t>
  </si>
  <si>
    <t xml:space="preserve">EUR (España/Portugal)</t>
  </si>
  <si>
    <t xml:space="preserve">Institución</t>
  </si>
  <si>
    <t xml:space="preserve">Universidad Complutense de Madrid (UCM)</t>
  </si>
  <si>
    <t xml:space="preserve">Hub asignado</t>
  </si>
  <si>
    <t xml:space="preserve">🇪🇸 Madrid · C. de Martínez Villergas, 52</t>
  </si>
  <si>
    <t xml:space="preserve">Departamento</t>
  </si>
  <si>
    <t xml:space="preserve">Facultad de Medicina · Unidad de Oncología Molecular</t>
  </si>
  <si>
    <t xml:space="preserve">Contacto</t>
  </si>
  <si>
    <t xml:space="preserve">Dra. María Fernández-Aceñero</t>
  </si>
  <si>
    <t xml:space="preserve">Email</t>
  </si>
  <si>
    <t xml:space="preserve">mfernandez.acenero@ucm.es</t>
  </si>
  <si>
    <t xml:space="preserve">Proyecto</t>
  </si>
  <si>
    <t xml:space="preserve">Estudio multi-ómico de cáncer colorrectal hereditario</t>
  </si>
  <si>
    <t xml:space="preserve">Referencia interna</t>
  </si>
  <si>
    <t xml:space="preserve">GRT-2026-08-CRC</t>
  </si>
  <si>
    <t xml:space="preserve">📦  ALCANCE DEL PROYECTO</t>
  </si>
  <si>
    <t xml:space="preserve">#</t>
  </si>
  <si>
    <t xml:space="preserve">Servicio NGS</t>
  </si>
  <si>
    <t xml:space="preserve">Plataforma</t>
  </si>
  <si>
    <t xml:space="preserve">Cobertura/Reads</t>
  </si>
  <si>
    <t xml:space="preserve">Muestras</t>
  </si>
  <si>
    <t xml:space="preserve">Precio unit. (€)</t>
  </si>
  <si>
    <t xml:space="preserve">Subtotal (€)</t>
  </si>
  <si>
    <t xml:space="preserve">Notas</t>
  </si>
  <si>
    <t xml:space="preserve">WES · Whole Exome Sequencing</t>
  </si>
  <si>
    <t xml:space="preserve">NovaSeq X 25B 300PE</t>
  </si>
  <si>
    <t xml:space="preserve">100× target</t>
  </si>
  <si>
    <t xml:space="preserve">RNA-Seq · mRNA polyA</t>
  </si>
  <si>
    <t xml:space="preserve">NovaSeq X 25B 150PE</t>
  </si>
  <si>
    <t xml:space="preserve">50M reads</t>
  </si>
  <si>
    <t xml:space="preserve">16S Metagenomics · PacBio HiFi</t>
  </si>
  <si>
    <t xml:space="preserve">PacBio Revio</t>
  </si>
  <si>
    <t xml:space="preserve">Full-length 16S</t>
  </si>
  <si>
    <t xml:space="preserve">Subtotal servicios</t>
  </si>
  <si>
    <t xml:space="preserve">Descuento académico (15%)</t>
  </si>
  <si>
    <t xml:space="preserve">Pick-up Madrid (gratis)</t>
  </si>
  <si>
    <t xml:space="preserve">Base imponible</t>
  </si>
  <si>
    <t xml:space="preserve">IVA España (21%)</t>
  </si>
  <si>
    <t xml:space="preserve">TOTAL A FACTURAR (EUR · IVA incl.)</t>
  </si>
  <si>
    <t xml:space="preserve">✅ Lo que incluye esta cotización</t>
  </si>
  <si>
    <t xml:space="preserve">• Recepción de muestras, control de calidad pre-secuenciación (Picogreen · TapeStation · qPCR)</t>
  </si>
  <si>
    <t xml:space="preserve">• Construcción de librería + QC con tecnologías mencionadas</t>
  </si>
  <si>
    <t xml:space="preserve">• Secuenciación NovaSeq X 25B / PacBio Revio según servicio</t>
  </si>
  <si>
    <t xml:space="preserve">• Análisis bioinformático básico (alineamiento + variant calling para WES; DEG para RNA-Seq; taxonomía para 16S)</t>
  </si>
  <si>
    <t xml:space="preserve">• Entrega FASTQ + BAM + VCF + reporte ejecutivo PDF</t>
  </si>
  <si>
    <t xml:space="preserve">• Hospedaje 30 días en dna.macrogen.com con descarga vía link seguro</t>
  </si>
  <si>
    <t xml:space="preserve">• Soporte técnico 24/7 en español desde Madrid + Santiago</t>
  </si>
  <si>
    <t xml:space="preserve">⚠️  Cotización válida por 30 días desde fecha de emisión. Precios pueden variar para volúmenes &gt; 100 muestras (contactar a ventas). Tiempos de entrega (TAT) confirmados al recibo de muestras: WES 4–6 sem · RNA-Seq 3–5 sem · 16S PacBio 2–3 sem.</t>
  </si>
  <si>
    <t xml:space="preserve">Detalle de pricing por servicio · estructura Macrogen</t>
  </si>
  <si>
    <t xml:space="preserve">Cada servicio NGS se descompone en 3 bloques: Sample Prep + QC → Library + QC → Platform/Scale/Run. La columna PRICE es el rack list. DC/PROMO refleja descuentos por volumen o repetición. TENDER aplica a licitaciones públicas.</t>
  </si>
  <si>
    <t xml:space="preserve">🎯  WES · Whole Exome Sequencing (SureSelect V6 + NovaSeq X 25B 300PE @ 100×)</t>
  </si>
  <si>
    <t xml:space="preserve">Código</t>
  </si>
  <si>
    <t xml:space="preserve">Concepto</t>
  </si>
  <si>
    <t xml:space="preserve">Cant.</t>
  </si>
  <si>
    <t xml:space="preserve">Coste base (€)</t>
  </si>
  <si>
    <t xml:space="preserve">PRICE (€)</t>
  </si>
  <si>
    <t xml:space="preserve">DC/PROMO (€)</t>
  </si>
  <si>
    <t xml:space="preserve">TENDER (€)</t>
  </si>
  <si>
    <t xml:space="preserve">NGSNDQ-N001</t>
  </si>
  <si>
    <t xml:space="preserve">DNA QC - Picogreen</t>
  </si>
  <si>
    <t xml:space="preserve">NGSNDQ-N013</t>
  </si>
  <si>
    <t xml:space="preserve">DNA QC - TapeStation gDNA</t>
  </si>
  <si>
    <t xml:space="preserve">NGSNHL-D011</t>
  </si>
  <si>
    <t xml:space="preserve">SureSelect library for post-exome capture</t>
  </si>
  <si>
    <t xml:space="preserve">NGSNDQ-N011</t>
  </si>
  <si>
    <t xml:space="preserve">8 micro TUBE Strip</t>
  </si>
  <si>
    <t xml:space="preserve">NGSNLQ-LQ04</t>
  </si>
  <si>
    <t xml:space="preserve">HiSeq library QC only-D1000 Screen Tape</t>
  </si>
  <si>
    <t xml:space="preserve">NGSNHE-S013</t>
  </si>
  <si>
    <t xml:space="preserve">Exome library (SureSelect V6 Post)</t>
  </si>
  <si>
    <t xml:space="preserve">NGSNEQ-LQ09</t>
  </si>
  <si>
    <t xml:space="preserve">HiSeq Exome library D1000 Screen Tape</t>
  </si>
  <si>
    <t xml:space="preserve">NGSNEQ-LQ08</t>
  </si>
  <si>
    <t xml:space="preserve">HiSeq Exome library QC only - LightCycler qPCR</t>
  </si>
  <si>
    <t xml:space="preserve">NGSNVS-R010</t>
  </si>
  <si>
    <t xml:space="preserve">NovaSeq X 25B 300 cycle 1 lane running</t>
  </si>
  <si>
    <t xml:space="preserve">Subtotal 1 muestra(s)</t>
  </si>
  <si>
    <t xml:space="preserve">🧬  RNA-Seq · mRNA polyA (TruSeq stranded + NovaSeq X 25B 150PE)</t>
  </si>
  <si>
    <t xml:space="preserve">NGSNRQ-N005</t>
  </si>
  <si>
    <t xml:space="preserve">RNA QC - RNA 6000 Nano Bioanalyzer</t>
  </si>
  <si>
    <t xml:space="preserve">NGSNRP-S009</t>
  </si>
  <si>
    <t xml:space="preserve">TruSeq stranded mRNA library prep</t>
  </si>
  <si>
    <t xml:space="preserve">NGSNLQ-LQ03</t>
  </si>
  <si>
    <t xml:space="preserve">RNA library QC - High Sensitivity D1000</t>
  </si>
  <si>
    <t xml:space="preserve">NGSNVS-R009</t>
  </si>
  <si>
    <t xml:space="preserve">NovaSeq X 25B 150 PE - 50M reads</t>
  </si>
  <si>
    <t xml:space="preserve">BIONGS-RNA01</t>
  </si>
  <si>
    <t xml:space="preserve">DEG analysis (DESeq2/edgeR) + GO/KEGG enrichment</t>
  </si>
  <si>
    <t xml:space="preserve">🦠  16S Metagenomics · PacBio HiFi full-length</t>
  </si>
  <si>
    <t xml:space="preserve">NGSPBL-D024</t>
  </si>
  <si>
    <t xml:space="preserve">PacBio 16s full-length Library</t>
  </si>
  <si>
    <t xml:space="preserve">NGSPBR-R002</t>
  </si>
  <si>
    <t xml:space="preserve">PacBio Revio SMRT Cell - 1/4 cell</t>
  </si>
  <si>
    <t xml:space="preserve">BIONGS-16S01</t>
  </si>
  <si>
    <t xml:space="preserve">Bioinformática 16S - DADA2 + NCBI BLAST + diversity (alpha/beta)</t>
  </si>
  <si>
    <t xml:space="preserve">📐  Estructura de pricing</t>
  </si>
  <si>
    <t xml:space="preserve">• PRICE (rack): tarifa de catálogo oficial, sin descuento. Aplica a clientes nuevos o pedidos menores.</t>
  </si>
  <si>
    <t xml:space="preserve">• DC/PROMO (-10%): descuento por volumen (&gt;20 muestras) o cliente recurrente.</t>
  </si>
  <si>
    <t xml:space="preserve">• TENDER (-27%): tarifa para licitaciones públicas, hospitales SNS, redes científicas (CIBER, RTIC).</t>
  </si>
  <si>
    <t xml:space="preserve">• Cost: coste manufacturado base (no facturable). Para uso interno de calculadora de cotizaciones.</t>
  </si>
  <si>
    <t xml:space="preserve">Lista de precios NGS 2026 · referencia rápida</t>
  </si>
  <si>
    <t xml:space="preserve">Vigente 1 marzo 2026 - 28 febrero 2027 · todos los precios por muestra (single sample equivalent)</t>
  </si>
  <si>
    <t xml:space="preserve">Application Group</t>
  </si>
  <si>
    <t xml:space="preserve">Servicio específico</t>
  </si>
  <si>
    <t xml:space="preserve">PRICE (USD)</t>
  </si>
  <si>
    <t xml:space="preserve">🧬 WGS</t>
  </si>
  <si>
    <t xml:space="preserve">TruSeq PCR-free 30× human</t>
  </si>
  <si>
    <t xml:space="preserve">30× WGS</t>
  </si>
  <si>
    <t xml:space="preserve">TruSeq PCR-free 60× human</t>
  </si>
  <si>
    <t xml:space="preserve">60× WGS</t>
  </si>
  <si>
    <t xml:space="preserve">TruSeq PCR-free 100× tumor</t>
  </si>
  <si>
    <t xml:space="preserve">100× WGS</t>
  </si>
  <si>
    <t xml:space="preserve">TruSeq Nano (low input)</t>
  </si>
  <si>
    <t xml:space="preserve">Nextera DNA XT (small genome)</t>
  </si>
  <si>
    <t xml:space="preserve">NovaSeq 6000 S4 300PE</t>
  </si>
  <si>
    <t xml:space="preserve">50× bacteria</t>
  </si>
  <si>
    <t xml:space="preserve">🎯 WES</t>
  </si>
  <si>
    <t xml:space="preserve">SureSelect V6-post</t>
  </si>
  <si>
    <t xml:space="preserve">100×</t>
  </si>
  <si>
    <t xml:space="preserve">SureSelect V7-post</t>
  </si>
  <si>
    <t xml:space="preserve">SureSelect V8-post</t>
  </si>
  <si>
    <t xml:space="preserve">TWIST Core Exome V1</t>
  </si>
  <si>
    <t xml:space="preserve">TWIST Core Exome V2</t>
  </si>
  <si>
    <t xml:space="preserve">🧬 Methylation</t>
  </si>
  <si>
    <t xml:space="preserve">Accel-NGS Methyl-Seq (WGBS)</t>
  </si>
  <si>
    <t xml:space="preserve">30× WGBS</t>
  </si>
  <si>
    <t xml:space="preserve">SureSelect Human Methyl-seq</t>
  </si>
  <si>
    <t xml:space="preserve">Twist Human Methylome panel</t>
  </si>
  <si>
    <t xml:space="preserve">~3 Gb</t>
  </si>
  <si>
    <t xml:space="preserve">🦠 Meta</t>
  </si>
  <si>
    <t xml:space="preserve">Meta shotgun (10 Gb/sample)</t>
  </si>
  <si>
    <t xml:space="preserve">10 Gb</t>
  </si>
  <si>
    <t xml:space="preserve">16S Amplicon (V3-V4)</t>
  </si>
  <si>
    <t xml:space="preserve">100K reads</t>
  </si>
  <si>
    <t xml:space="preserve">16S full-length PacBio</t>
  </si>
  <si>
    <t xml:space="preserve">full 16S</t>
  </si>
  <si>
    <t xml:space="preserve">ITS Amplicon (fungi)</t>
  </si>
  <si>
    <t xml:space="preserve">🧬 RNA</t>
  </si>
  <si>
    <t xml:space="preserve">TruSeq stranded mRNA (polyA)</t>
  </si>
  <si>
    <t xml:space="preserve">TruSeq Stranded Total RNA Gold (ribozero)</t>
  </si>
  <si>
    <t xml:space="preserve">TruSeq Stranded Total RNA Globin</t>
  </si>
  <si>
    <t xml:space="preserve">TruSeq small RNA (miRNA)</t>
  </si>
  <si>
    <t xml:space="preserve">NovaSeq X 25B 50SR</t>
  </si>
  <si>
    <t xml:space="preserve">10M reads</t>
  </si>
  <si>
    <t xml:space="preserve">Total RNA with NEB Microbe</t>
  </si>
  <si>
    <t xml:space="preserve">🔬 Single Cell</t>
  </si>
  <si>
    <t xml:space="preserve">10x Chromium 3p v3.1 (5k cells)</t>
  </si>
  <si>
    <t xml:space="preserve">20K reads/cell</t>
  </si>
  <si>
    <t xml:space="preserve">10x Chromium 5p v2 (5k cells)</t>
  </si>
  <si>
    <t xml:space="preserve">10x Chromium ATAC v1.1</t>
  </si>
  <si>
    <t xml:space="preserve">25K reads/cell</t>
  </si>
  <si>
    <t xml:space="preserve">10x Chromium Multiome (GEX+ATAC)</t>
  </si>
  <si>
    <t xml:space="preserve">20K+25K reads/cell</t>
  </si>
  <si>
    <t xml:space="preserve">⚡ Long Reads</t>
  </si>
  <si>
    <t xml:space="preserve">PacBio HiFi WGS (30×)</t>
  </si>
  <si>
    <t xml:space="preserve">30× HiFi</t>
  </si>
  <si>
    <t xml:space="preserve">PacBio Microbial de novo</t>
  </si>
  <si>
    <t xml:space="preserve">1/8 SMRT cell</t>
  </si>
  <si>
    <t xml:space="preserve">PacBio Iso-Seq</t>
  </si>
  <si>
    <t xml:space="preserve">1/4 SMRT cell</t>
  </si>
  <si>
    <t xml:space="preserve">PacBio Kinnex full-length RNA</t>
  </si>
  <si>
    <t xml:space="preserve">Nanopore PromethION (1 flow cell)</t>
  </si>
  <si>
    <t xml:space="preserve">ONT PromethION</t>
  </si>
  <si>
    <t xml:space="preserve">~100 Gb</t>
  </si>
  <si>
    <t xml:space="preserve">⚙️ Run only</t>
  </si>
  <si>
    <t xml:space="preserve">NovaSeq X 25B - 1 lane (custom library)</t>
  </si>
  <si>
    <t xml:space="preserve">~250 Gb</t>
  </si>
  <si>
    <t xml:space="preserve">NovaSeq 6000 S4 - 1 lane</t>
  </si>
  <si>
    <t xml:space="preserve">~75 Gb</t>
  </si>
  <si>
    <t xml:space="preserve">PacBio Revio SMRT cell</t>
  </si>
  <si>
    <t xml:space="preserve">~100 Gb HiFi</t>
  </si>
  <si>
    <t xml:space="preserve">💡 Notas de uso</t>
  </si>
  <si>
    <t xml:space="preserve">• Tipo de cambio EUR ↔ USD: 1 EUR = 1.143 USD (calculado automáticamente con fórmula)</t>
  </si>
  <si>
    <t xml:space="preserve">• DC/PROMO: aplicar -10% sobre PRICE para volúmenes &gt;20 muestras del mismo servicio</t>
  </si>
  <si>
    <t xml:space="preserve">• TENDER: aplicar -27% sobre PRICE para licitaciones públicas y consorcios académicos</t>
  </si>
  <si>
    <t xml:space="preserve">• Precios NO incluyen IVA. España: +21%. Portugal: +23%. Chile: +19% IVA. Perú: +18% IGV.</t>
  </si>
  <si>
    <t xml:space="preserve">• Pickup GRATIS en Madrid 🇪🇸 y Santiago 🇨🇱. Envío internacional: $25-45 USD/EUR según courier.</t>
  </si>
  <si>
    <t xml:space="preserve">• TAT estándar: WES 4-6 sem · RNA-Seq 3-5 sem · WGS 5-7 sem · PacBio 3-4 sem · 16S 2-3 sem.</t>
  </si>
  <si>
    <t xml:space="preserve">Términos y condiciones de la cotización</t>
  </si>
  <si>
    <t xml:space="preserve">📅  Validez</t>
  </si>
  <si>
    <t xml:space="preserve">Esta cotización tiene una validez de 30 días naturales desde la fecha de emisión. Pasado este plazo, los precios podrán ser revisados.</t>
  </si>
  <si>
    <t xml:space="preserve">💳  Forma de pago</t>
  </si>
  <si>
    <t xml:space="preserve">• Transferencia bancaria: pago al recibo de muestras (0%) o Net 30 (clientes institucionales validados)
• Tarjeta corporativa: pago al confirmar el pedido
• Aceptamos órdenes de compra de universidades y consorcios (CIBER, ISCIII, CSIC, etc.)</t>
  </si>
  <si>
    <t xml:space="preserve">📦  Logística</t>
  </si>
  <si>
    <t xml:space="preserve">• Pickup gratis en Madrid (C. Martínez Villergas 52, 28027) y Santiago (Magdalena 140 Of. 401)
• Envío con dry-ice: DHL/FedEx (+25-45 €). RNA, tejidos frescos
• Envío sin dry-ice: DHL/FedEx (+15-25 €). DNA estable, oligos, Sanger
• Cliente coordina envío con su courier preferido. Macrogen entrega etiqueta + procedimiento PDF.</t>
  </si>
  <si>
    <t xml:space="preserve">🎯  TAT (Tiempo de entrega)</t>
  </si>
  <si>
    <t xml:space="preserve">• Sanger CES: 24-48h
• 16S Metagenomics: 2-3 semanas
• RNA-Seq estándar: 3-5 semanas
• WES: 4-6 semanas
• WGS / PacBio HiFi: 5-7 semanas
• Single Cell 10x: 4-6 semanas
TAT cuenta desde recepción de muestras conformes. QC fallido reinicia el contador.</t>
  </si>
  <si>
    <t xml:space="preserve">📊  Entregables</t>
  </si>
  <si>
    <t xml:space="preserve">• FASTQ raw reads (.fastq.gz) en formato Illumina o PacBio según servicio
• BAM aligned a referencia (hg38, mm10, GRCh38 patches, etc.)
• VCF de variantes (annotated VEP/ClinVar/COSMIC para WES/WGS humano)
• Reporte PDF ejecutivo con QC metrics + visualizaciones
• Hospedaje 30 días en dna.macrogen.com con link seguro de descarga</t>
  </si>
  <si>
    <t xml:space="preserve">🔬  QC pre-secuenciación</t>
  </si>
  <si>
    <t xml:space="preserve">• Picogreen / Qubit (concentración)
• Bioanalyzer / TapeStation (integridad RIN &gt; 7 para RNA, DIN &gt; 6 para gDNA)
• Si la muestra no cumple QC, se notifica al cliente antes de proceder. El cliente puede: enviar reemplazo, autorizar a continuar bajo su responsabilidad, o cancelar (con devolución parcial deducido el costo de QC).</t>
  </si>
  <si>
    <t xml:space="preserve">🌐  Multi-jurisdicción</t>
  </si>
  <si>
    <t xml:space="preserve">• 🇪🇸 España + 🇵🇹 Portugal: facturación en EUR + IVA 21%/23%, hub Madrid
• 🇨🇱 Chile + 🇵🇪 Perú: facturación en USD + IVA 19%/18%, hub Santiago
• Datos almacenados conforme GDPR (UE) y Ley 21.719 (Chile). Eliminación automática 90 días post-entrega.</t>
  </si>
  <si>
    <t xml:space="preserve">📞  Soporte</t>
  </si>
  <si>
    <t xml:space="preserve">• 🇪🇸 Madrid: info-spain@macrogen.com · +34 911 138 378
• 🇨🇱 Santiago: info-chile@macrogen.com · +56 9 5845 1395
• Portal global: dna.macrogen.com
• Soporte 24/7 en español por email · respuesta &lt; 24h hábiles</t>
  </si>
  <si>
    <t xml:space="preserve">⚖️  Cláusula de aceptación</t>
  </si>
  <si>
    <t xml:space="preserve">La aceptación de esta cotización implica la conformidad con los términos de servicio publicados en macrogen-es.com/terminos.html. Para órdenes superiores a 50.000 EUR se requiere firma de contrato marco previo.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</si>
</sst>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€#,##0.00"/>
    <numFmt numFmtId="166" formatCode="\€#,##0.00;&quot;(€&quot;#,##0.00\)"/>
    <numFmt numFmtId="167" formatCode="\$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2A57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B2A57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3FA9C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875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1B2A57"/>
      <name val="Arial"/>
      <family val="0"/>
      <charset val="1"/>
    </font>
    <font>
      <i val="true"/>
      <sz val="9"/>
      <color rgb="FF6B7B95"/>
      <name val="Arial"/>
      <family val="0"/>
      <charset val="1"/>
    </font>
    <font>
      <b val="true"/>
      <sz val="20"/>
      <color rgb="FF1B2A57"/>
      <name val="Arial"/>
      <family val="0"/>
      <charset val="1"/>
    </font>
    <font>
      <sz val="9"/>
      <color rgb="FF6B7B9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57"/>
        <bgColor rgb="FF333333"/>
      </patternFill>
    </fill>
    <fill>
      <patternFill patternType="solid">
        <fgColor rgb="FFF4F6FB"/>
        <bgColor rgb="FFFEF7E8"/>
      </patternFill>
    </fill>
    <fill>
      <patternFill patternType="solid">
        <fgColor rgb="FF3FA9C9"/>
        <bgColor rgb="FF6B7B95"/>
      </patternFill>
    </fill>
    <fill>
      <patternFill patternType="solid">
        <fgColor rgb="FFFEF7E8"/>
        <bgColor rgb="FFF4F6FB"/>
      </patternFill>
    </fill>
    <fill>
      <patternFill patternType="solid">
        <fgColor rgb="FFE0004D"/>
        <bgColor rgb="FF800080"/>
      </patternFill>
    </fill>
    <fill>
      <patternFill patternType="solid">
        <fgColor rgb="FFDDE3EE"/>
        <bgColor rgb="FFF4F6FB"/>
      </patternFill>
    </fill>
    <fill>
      <patternFill patternType="solid">
        <fgColor rgb="FF1A8754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3EE"/>
      </left>
      <right style="thin">
        <color rgb="FFDDE3EE"/>
      </right>
      <top style="thin">
        <color rgb="FFDDE3EE"/>
      </top>
      <bottom style="thin">
        <color rgb="FFDDE3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0004D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B95"/>
      <rgbColor rgb="FF9999FF"/>
      <rgbColor rgb="FF993366"/>
      <rgbColor rgb="FFFEF7E8"/>
      <rgbColor rgb="FFF4F6FB"/>
      <rgbColor rgb="FF660066"/>
      <rgbColor rgb="FFFF8080"/>
      <rgbColor rgb="FF0066CC"/>
      <rgbColor rgb="FFDDE3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FA9C9"/>
      <rgbColor rgb="FF99CC00"/>
      <rgbColor rgb="FFFFCC00"/>
      <rgbColor rgb="FFFF9900"/>
      <rgbColor rgb="FFFF6600"/>
      <rgbColor rgb="FF666699"/>
      <rgbColor rgb="FF969696"/>
      <rgbColor rgb="FF1B2A57"/>
      <rgbColor rgb="FF1A8754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2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17.35" hidden="false" customHeight="true" outlineLevel="0" collapsed="false">
      <c r="A2" s="2" t="s">
        <v>0</v>
      </c>
      <c r="B2" s="2"/>
      <c r="C2" s="2"/>
      <c r="D2" s="2"/>
      <c r="E2" s="3" t="s">
        <v>1</v>
      </c>
      <c r="F2" s="3"/>
      <c r="G2" s="3"/>
      <c r="H2" s="3"/>
    </row>
    <row r="3" customFormat="false" ht="15" hidden="false" customHeight="false" outlineLevel="0" collapsed="false">
      <c r="A3" s="2"/>
      <c r="B3" s="2"/>
      <c r="C3" s="2"/>
      <c r="D3" s="2"/>
      <c r="E3" s="4" t="s">
        <v>2</v>
      </c>
      <c r="F3" s="5" t="s">
        <v>3</v>
      </c>
    </row>
    <row r="4" customFormat="false" ht="15" hidden="false" customHeight="false" outlineLevel="0" collapsed="false">
      <c r="A4" s="6" t="s">
        <v>4</v>
      </c>
      <c r="B4" s="6"/>
      <c r="C4" s="6"/>
      <c r="D4" s="6"/>
      <c r="E4" s="4" t="s">
        <v>5</v>
      </c>
      <c r="F4" s="5" t="s">
        <v>6</v>
      </c>
    </row>
    <row r="5" customFormat="false" ht="15" hidden="false" customHeight="false" outlineLevel="0" collapsed="false">
      <c r="E5" s="4" t="s">
        <v>7</v>
      </c>
      <c r="F5" s="5" t="s">
        <v>8</v>
      </c>
    </row>
    <row r="6" customFormat="false" ht="15" hidden="false" customHeight="true" outlineLevel="0" collapsed="false">
      <c r="A6" s="7" t="s">
        <v>9</v>
      </c>
      <c r="B6" s="7"/>
      <c r="C6" s="7"/>
      <c r="D6" s="7"/>
      <c r="E6" s="4" t="s">
        <v>10</v>
      </c>
      <c r="F6" s="5" t="s">
        <v>11</v>
      </c>
    </row>
    <row r="7" customFormat="false" ht="15" hidden="false" customHeight="true" outlineLevel="0" collapsed="false">
      <c r="A7" s="8" t="s">
        <v>12</v>
      </c>
      <c r="B7" s="9" t="s">
        <v>13</v>
      </c>
      <c r="C7" s="9"/>
      <c r="D7" s="9"/>
      <c r="E7" s="4" t="s">
        <v>14</v>
      </c>
      <c r="F7" s="5" t="s">
        <v>15</v>
      </c>
    </row>
    <row r="8" customFormat="false" ht="15" hidden="false" customHeight="true" outlineLevel="0" collapsed="false">
      <c r="A8" s="8" t="s">
        <v>16</v>
      </c>
      <c r="B8" s="9" t="s">
        <v>17</v>
      </c>
      <c r="C8" s="9"/>
      <c r="D8" s="9"/>
    </row>
    <row r="9" customFormat="false" ht="15" hidden="false" customHeight="true" outlineLevel="0" collapsed="false">
      <c r="A9" s="8" t="s">
        <v>18</v>
      </c>
      <c r="B9" s="9" t="s">
        <v>19</v>
      </c>
      <c r="C9" s="9"/>
      <c r="D9" s="9"/>
    </row>
    <row r="10" customFormat="false" ht="15" hidden="false" customHeight="true" outlineLevel="0" collapsed="false">
      <c r="A10" s="8" t="s">
        <v>20</v>
      </c>
      <c r="B10" s="9" t="s">
        <v>21</v>
      </c>
      <c r="C10" s="9"/>
      <c r="D10" s="9"/>
    </row>
    <row r="11" customFormat="false" ht="15" hidden="false" customHeight="true" outlineLevel="0" collapsed="false">
      <c r="A11" s="8" t="s">
        <v>22</v>
      </c>
      <c r="B11" s="9" t="s">
        <v>23</v>
      </c>
      <c r="C11" s="9"/>
      <c r="D11" s="9"/>
    </row>
    <row r="12" customFormat="false" ht="15" hidden="false" customHeight="true" outlineLevel="0" collapsed="false">
      <c r="A12" s="8" t="s">
        <v>24</v>
      </c>
      <c r="B12" s="9" t="s">
        <v>25</v>
      </c>
      <c r="C12" s="9"/>
      <c r="D12" s="9"/>
    </row>
    <row r="16" customFormat="false" ht="24" hidden="false" customHeight="true" outlineLevel="0" collapsed="false">
      <c r="A16" s="10" t="s">
        <v>26</v>
      </c>
      <c r="B16" s="10"/>
      <c r="C16" s="10"/>
      <c r="D16" s="10"/>
      <c r="E16" s="10"/>
      <c r="F16" s="10"/>
      <c r="G16" s="10"/>
      <c r="H16" s="10"/>
    </row>
    <row r="17" customFormat="false" ht="30" hidden="false" customHeight="true" outlineLevel="0" collapsed="false">
      <c r="A17" s="11" t="s">
        <v>27</v>
      </c>
      <c r="B17" s="11" t="s">
        <v>28</v>
      </c>
      <c r="C17" s="11" t="s">
        <v>29</v>
      </c>
      <c r="D17" s="11" t="s">
        <v>30</v>
      </c>
      <c r="E17" s="11" t="s">
        <v>31</v>
      </c>
      <c r="F17" s="11" t="s">
        <v>32</v>
      </c>
      <c r="G17" s="11" t="s">
        <v>33</v>
      </c>
      <c r="H17" s="11" t="s">
        <v>34</v>
      </c>
    </row>
    <row r="18" customFormat="false" ht="15" hidden="false" customHeight="false" outlineLevel="0" collapsed="false">
      <c r="A18" s="12" t="n">
        <v>1</v>
      </c>
      <c r="B18" s="12" t="s">
        <v>35</v>
      </c>
      <c r="C18" s="12" t="s">
        <v>36</v>
      </c>
      <c r="D18" s="12" t="s">
        <v>37</v>
      </c>
      <c r="E18" s="13" t="n">
        <v>24</v>
      </c>
      <c r="F18" s="14" t="n">
        <v>148.15</v>
      </c>
      <c r="G18" s="15" t="n">
        <f aca="false">E18*F18</f>
        <v>3555.6</v>
      </c>
    </row>
    <row r="19" customFormat="false" ht="15" hidden="false" customHeight="false" outlineLevel="0" collapsed="false">
      <c r="A19" s="12" t="n">
        <v>2</v>
      </c>
      <c r="B19" s="12" t="s">
        <v>38</v>
      </c>
      <c r="C19" s="12" t="s">
        <v>39</v>
      </c>
      <c r="D19" s="12" t="s">
        <v>40</v>
      </c>
      <c r="E19" s="13" t="n">
        <v>12</v>
      </c>
      <c r="F19" s="14" t="n">
        <v>125.4</v>
      </c>
      <c r="G19" s="15" t="n">
        <f aca="false">E19*F19</f>
        <v>1504.8</v>
      </c>
    </row>
    <row r="20" customFormat="false" ht="15" hidden="false" customHeight="false" outlineLevel="0" collapsed="false">
      <c r="A20" s="12" t="n">
        <v>3</v>
      </c>
      <c r="B20" s="12" t="s">
        <v>41</v>
      </c>
      <c r="C20" s="12" t="s">
        <v>42</v>
      </c>
      <c r="D20" s="12" t="s">
        <v>43</v>
      </c>
      <c r="E20" s="13" t="n">
        <v>6</v>
      </c>
      <c r="F20" s="14" t="n">
        <v>197.8</v>
      </c>
      <c r="G20" s="15" t="n">
        <f aca="false">E20*F20</f>
        <v>1186.8</v>
      </c>
    </row>
    <row r="22" customFormat="false" ht="15" hidden="false" customHeight="false" outlineLevel="0" collapsed="false">
      <c r="F22" s="16" t="s">
        <v>44</v>
      </c>
      <c r="G22" s="17" t="n">
        <f aca="false">SUM(G18:G20)</f>
        <v>6247.2</v>
      </c>
    </row>
    <row r="23" customFormat="false" ht="23.85" hidden="false" customHeight="false" outlineLevel="0" collapsed="false">
      <c r="F23" s="18" t="s">
        <v>45</v>
      </c>
      <c r="G23" s="19" t="n">
        <f aca="false">-G22*0.15</f>
        <v>-937.08</v>
      </c>
    </row>
    <row r="24" customFormat="false" ht="23.85" hidden="false" customHeight="false" outlineLevel="0" collapsed="false">
      <c r="F24" s="18" t="s">
        <v>46</v>
      </c>
      <c r="G24" s="20" t="n">
        <v>0</v>
      </c>
    </row>
    <row r="25" customFormat="false" ht="15" hidden="false" customHeight="false" outlineLevel="0" collapsed="false">
      <c r="F25" s="16" t="s">
        <v>47</v>
      </c>
      <c r="G25" s="21" t="n">
        <f aca="false">G22+G23+G24</f>
        <v>5310.12</v>
      </c>
    </row>
    <row r="26" customFormat="false" ht="15" hidden="false" customHeight="false" outlineLevel="0" collapsed="false">
      <c r="F26" s="18" t="s">
        <v>48</v>
      </c>
      <c r="G26" s="20" t="n">
        <f aca="false">G25*0.21</f>
        <v>1115.1252</v>
      </c>
    </row>
    <row r="27" customFormat="false" ht="15" hidden="false" customHeight="true" outlineLevel="0" collapsed="false">
      <c r="A27" s="22" t="s">
        <v>49</v>
      </c>
      <c r="B27" s="22"/>
      <c r="C27" s="22"/>
      <c r="D27" s="22"/>
      <c r="E27" s="22"/>
      <c r="F27" s="23"/>
      <c r="G27" s="24" t="n">
        <f aca="false">G25+G26</f>
        <v>6425.2452</v>
      </c>
      <c r="H27" s="25"/>
    </row>
    <row r="29" customFormat="false" ht="15" hidden="false" customHeight="true" outlineLevel="0" collapsed="false">
      <c r="A29" s="26" t="s">
        <v>50</v>
      </c>
      <c r="B29" s="26"/>
      <c r="C29" s="26"/>
      <c r="D29" s="26"/>
      <c r="E29" s="26"/>
      <c r="F29" s="26"/>
      <c r="G29" s="26"/>
      <c r="H29" s="26"/>
    </row>
    <row r="30" customFormat="false" ht="15" hidden="false" customHeight="true" outlineLevel="0" collapsed="false">
      <c r="A30" s="9" t="s">
        <v>51</v>
      </c>
      <c r="B30" s="9"/>
      <c r="C30" s="9"/>
      <c r="D30" s="9"/>
      <c r="E30" s="9"/>
      <c r="F30" s="9"/>
      <c r="G30" s="9"/>
      <c r="H30" s="9"/>
    </row>
    <row r="31" customFormat="false" ht="15" hidden="false" customHeight="true" outlineLevel="0" collapsed="false">
      <c r="A31" s="9" t="s">
        <v>52</v>
      </c>
      <c r="B31" s="9"/>
      <c r="C31" s="9"/>
      <c r="D31" s="9"/>
      <c r="E31" s="9"/>
      <c r="F31" s="9"/>
      <c r="G31" s="9"/>
      <c r="H31" s="9"/>
    </row>
    <row r="32" customFormat="false" ht="15" hidden="false" customHeight="true" outlineLevel="0" collapsed="false">
      <c r="A32" s="9" t="s">
        <v>53</v>
      </c>
      <c r="B32" s="9"/>
      <c r="C32" s="9"/>
      <c r="D32" s="9"/>
      <c r="E32" s="9"/>
      <c r="F32" s="9"/>
      <c r="G32" s="9"/>
      <c r="H32" s="9"/>
    </row>
    <row r="33" customFormat="false" ht="15" hidden="false" customHeight="true" outlineLevel="0" collapsed="false">
      <c r="A33" s="9" t="s">
        <v>54</v>
      </c>
      <c r="B33" s="9"/>
      <c r="C33" s="9"/>
      <c r="D33" s="9"/>
      <c r="E33" s="9"/>
      <c r="F33" s="9"/>
      <c r="G33" s="9"/>
      <c r="H33" s="9"/>
    </row>
    <row r="34" customFormat="false" ht="15" hidden="false" customHeight="true" outlineLevel="0" collapsed="false">
      <c r="A34" s="9" t="s">
        <v>55</v>
      </c>
      <c r="B34" s="9"/>
      <c r="C34" s="9"/>
      <c r="D34" s="9"/>
      <c r="E34" s="9"/>
      <c r="F34" s="9"/>
      <c r="G34" s="9"/>
      <c r="H34" s="9"/>
    </row>
    <row r="35" customFormat="false" ht="15" hidden="false" customHeight="true" outlineLevel="0" collapsed="false">
      <c r="A35" s="9" t="s">
        <v>56</v>
      </c>
      <c r="B35" s="9"/>
      <c r="C35" s="9"/>
      <c r="D35" s="9"/>
      <c r="E35" s="9"/>
      <c r="F35" s="9"/>
      <c r="G35" s="9"/>
      <c r="H35" s="9"/>
    </row>
    <row r="36" customFormat="false" ht="15" hidden="false" customHeight="true" outlineLevel="0" collapsed="false">
      <c r="A36" s="9" t="s">
        <v>57</v>
      </c>
      <c r="B36" s="9"/>
      <c r="C36" s="9"/>
      <c r="D36" s="9"/>
      <c r="E36" s="9"/>
      <c r="F36" s="9"/>
      <c r="G36" s="9"/>
      <c r="H36" s="9"/>
    </row>
    <row r="38" customFormat="false" ht="39.75" hidden="false" customHeight="true" outlineLevel="0" collapsed="false">
      <c r="A38" s="27" t="s">
        <v>58</v>
      </c>
      <c r="B38" s="27"/>
      <c r="C38" s="27"/>
      <c r="D38" s="27"/>
      <c r="E38" s="27"/>
      <c r="F38" s="27"/>
      <c r="G38" s="27"/>
      <c r="H38" s="27"/>
    </row>
  </sheetData>
  <mergeCells count="22">
    <mergeCell ref="A1:H1"/>
    <mergeCell ref="A2:D3"/>
    <mergeCell ref="E2:H2"/>
    <mergeCell ref="A4:D4"/>
    <mergeCell ref="A6:D6"/>
    <mergeCell ref="B7:D7"/>
    <mergeCell ref="B8:D8"/>
    <mergeCell ref="B9:D9"/>
    <mergeCell ref="B10:D10"/>
    <mergeCell ref="B11:D11"/>
    <mergeCell ref="B12:D12"/>
    <mergeCell ref="A16:H16"/>
    <mergeCell ref="A27:E27"/>
    <mergeCell ref="A29:H29"/>
    <mergeCell ref="A30:H30"/>
    <mergeCell ref="A31:H31"/>
    <mergeCell ref="A32:H32"/>
    <mergeCell ref="A33:H33"/>
    <mergeCell ref="A34:H34"/>
    <mergeCell ref="A35:H35"/>
    <mergeCell ref="A36:H36"/>
    <mergeCell ref="A38:H38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7" min="4" style="0" width="14"/>
  </cols>
  <sheetData>
    <row r="1" customFormat="false" ht="27.75" hidden="false" customHeight="true" outlineLevel="0" collapsed="false">
      <c r="A1" s="28" t="s">
        <v>59</v>
      </c>
      <c r="B1" s="28"/>
      <c r="C1" s="28"/>
      <c r="D1" s="28"/>
      <c r="E1" s="28"/>
      <c r="F1" s="28"/>
      <c r="G1" s="28"/>
    </row>
    <row r="2" customFormat="false" ht="31.5" hidden="false" customHeight="true" outlineLevel="0" collapsed="false">
      <c r="A2" s="29" t="s">
        <v>60</v>
      </c>
      <c r="B2" s="29"/>
      <c r="C2" s="29"/>
      <c r="D2" s="29"/>
      <c r="E2" s="29"/>
      <c r="F2" s="29"/>
      <c r="G2" s="29"/>
    </row>
    <row r="5" customFormat="false" ht="21.75" hidden="false" customHeight="true" outlineLevel="0" collapsed="false">
      <c r="A5" s="30" t="s">
        <v>61</v>
      </c>
      <c r="B5" s="30"/>
      <c r="C5" s="30"/>
      <c r="D5" s="30"/>
      <c r="E5" s="30"/>
      <c r="F5" s="30"/>
      <c r="G5" s="30"/>
    </row>
    <row r="6" customFormat="false" ht="15" hidden="false" customHeight="false" outlineLevel="0" collapsed="false">
      <c r="A6" s="31" t="s">
        <v>62</v>
      </c>
      <c r="B6" s="31" t="s">
        <v>63</v>
      </c>
      <c r="C6" s="31" t="s">
        <v>64</v>
      </c>
      <c r="D6" s="31" t="s">
        <v>65</v>
      </c>
      <c r="E6" s="31" t="s">
        <v>66</v>
      </c>
      <c r="F6" s="31" t="s">
        <v>67</v>
      </c>
      <c r="G6" s="31" t="s">
        <v>68</v>
      </c>
    </row>
    <row r="7" customFormat="false" ht="15" hidden="false" customHeight="false" outlineLevel="0" collapsed="false">
      <c r="A7" s="32" t="s">
        <v>69</v>
      </c>
      <c r="B7" s="12" t="s">
        <v>70</v>
      </c>
      <c r="C7" s="13" t="n">
        <v>1</v>
      </c>
      <c r="D7" s="15" t="n">
        <v>1.34</v>
      </c>
      <c r="E7" s="15" t="n">
        <f aca="false">D7*2.2</f>
        <v>2.948</v>
      </c>
      <c r="F7" s="15" t="n">
        <f aca="false">D7*2</f>
        <v>2.68</v>
      </c>
      <c r="G7" s="15" t="n">
        <f aca="false">D7*1.6</f>
        <v>2.144</v>
      </c>
    </row>
    <row r="8" customFormat="false" ht="15" hidden="false" customHeight="false" outlineLevel="0" collapsed="false">
      <c r="A8" s="32" t="s">
        <v>71</v>
      </c>
      <c r="B8" s="12" t="s">
        <v>72</v>
      </c>
      <c r="C8" s="13" t="n">
        <v>1</v>
      </c>
      <c r="D8" s="15" t="n">
        <v>3.11</v>
      </c>
      <c r="E8" s="15" t="n">
        <f aca="false">D8*2.2</f>
        <v>6.842</v>
      </c>
      <c r="F8" s="15" t="n">
        <f aca="false">D8*2</f>
        <v>6.22</v>
      </c>
      <c r="G8" s="15" t="n">
        <f aca="false">D8*1.6</f>
        <v>4.976</v>
      </c>
    </row>
    <row r="9" customFormat="false" ht="15" hidden="false" customHeight="false" outlineLevel="0" collapsed="false">
      <c r="A9" s="32" t="s">
        <v>73</v>
      </c>
      <c r="B9" s="12" t="s">
        <v>74</v>
      </c>
      <c r="C9" s="13" t="n">
        <v>1</v>
      </c>
      <c r="D9" s="15" t="n">
        <v>13.54</v>
      </c>
      <c r="E9" s="15" t="n">
        <f aca="false">D9*2.2</f>
        <v>29.788</v>
      </c>
      <c r="F9" s="15" t="n">
        <f aca="false">D9*2</f>
        <v>27.08</v>
      </c>
      <c r="G9" s="15" t="n">
        <f aca="false">D9*1.6</f>
        <v>21.664</v>
      </c>
    </row>
    <row r="10" customFormat="false" ht="15" hidden="false" customHeight="false" outlineLevel="0" collapsed="false">
      <c r="A10" s="32" t="s">
        <v>75</v>
      </c>
      <c r="B10" s="12" t="s">
        <v>76</v>
      </c>
      <c r="C10" s="13" t="n">
        <v>1</v>
      </c>
      <c r="D10" s="15" t="n">
        <v>7.62</v>
      </c>
      <c r="E10" s="15" t="n">
        <f aca="false">D10*2.2</f>
        <v>16.764</v>
      </c>
      <c r="F10" s="15" t="n">
        <f aca="false">D10*2</f>
        <v>15.24</v>
      </c>
      <c r="G10" s="15" t="n">
        <f aca="false">D10*1.6</f>
        <v>12.192</v>
      </c>
    </row>
    <row r="11" customFormat="false" ht="15" hidden="false" customHeight="false" outlineLevel="0" collapsed="false">
      <c r="A11" s="32" t="s">
        <v>77</v>
      </c>
      <c r="B11" s="12" t="s">
        <v>78</v>
      </c>
      <c r="C11" s="13" t="n">
        <v>1</v>
      </c>
      <c r="D11" s="15" t="n">
        <v>2.31</v>
      </c>
      <c r="E11" s="15" t="n">
        <f aca="false">D11*2.2</f>
        <v>5.082</v>
      </c>
      <c r="F11" s="15" t="n">
        <f aca="false">D11*2</f>
        <v>4.62</v>
      </c>
      <c r="G11" s="15" t="n">
        <f aca="false">D11*1.6</f>
        <v>3.696</v>
      </c>
    </row>
    <row r="12" customFormat="false" ht="15" hidden="false" customHeight="false" outlineLevel="0" collapsed="false">
      <c r="A12" s="32" t="s">
        <v>79</v>
      </c>
      <c r="B12" s="12" t="s">
        <v>80</v>
      </c>
      <c r="C12" s="13" t="n">
        <v>1</v>
      </c>
      <c r="D12" s="15" t="n">
        <v>17.14</v>
      </c>
      <c r="E12" s="15" t="n">
        <f aca="false">D12*2.2</f>
        <v>37.708</v>
      </c>
      <c r="F12" s="15" t="n">
        <f aca="false">D12*2</f>
        <v>34.28</v>
      </c>
      <c r="G12" s="15" t="n">
        <f aca="false">D12*1.6</f>
        <v>27.424</v>
      </c>
    </row>
    <row r="13" customFormat="false" ht="15" hidden="false" customHeight="false" outlineLevel="0" collapsed="false">
      <c r="A13" s="32" t="s">
        <v>81</v>
      </c>
      <c r="B13" s="12" t="s">
        <v>82</v>
      </c>
      <c r="C13" s="13" t="n">
        <v>1</v>
      </c>
      <c r="D13" s="15" t="n">
        <v>2.61</v>
      </c>
      <c r="E13" s="15" t="n">
        <f aca="false">D13*2.2</f>
        <v>5.742</v>
      </c>
      <c r="F13" s="15" t="n">
        <f aca="false">D13*2</f>
        <v>5.22</v>
      </c>
      <c r="G13" s="15" t="n">
        <f aca="false">D13*1.6</f>
        <v>4.176</v>
      </c>
    </row>
    <row r="14" customFormat="false" ht="15" hidden="false" customHeight="false" outlineLevel="0" collapsed="false">
      <c r="A14" s="32" t="s">
        <v>83</v>
      </c>
      <c r="B14" s="12" t="s">
        <v>84</v>
      </c>
      <c r="C14" s="13" t="n">
        <v>1</v>
      </c>
      <c r="D14" s="15" t="n">
        <v>4.05</v>
      </c>
      <c r="E14" s="15" t="n">
        <f aca="false">D14*2.2</f>
        <v>8.91</v>
      </c>
      <c r="F14" s="15" t="n">
        <f aca="false">D14*2</f>
        <v>8.1</v>
      </c>
      <c r="G14" s="15" t="n">
        <f aca="false">D14*1.6</f>
        <v>6.48</v>
      </c>
    </row>
    <row r="15" customFormat="false" ht="15" hidden="false" customHeight="false" outlineLevel="0" collapsed="false">
      <c r="A15" s="32" t="s">
        <v>85</v>
      </c>
      <c r="B15" s="12" t="s">
        <v>86</v>
      </c>
      <c r="C15" s="13" t="n">
        <v>0.009</v>
      </c>
      <c r="D15" s="15" t="n">
        <v>15.64</v>
      </c>
      <c r="E15" s="15" t="n">
        <f aca="false">D15*2.2</f>
        <v>34.408</v>
      </c>
      <c r="F15" s="15" t="n">
        <f aca="false">D15*2</f>
        <v>31.28</v>
      </c>
      <c r="G15" s="15" t="n">
        <f aca="false">D15*1.6</f>
        <v>25.024</v>
      </c>
    </row>
    <row r="16" customFormat="false" ht="15" hidden="false" customHeight="false" outlineLevel="0" collapsed="false">
      <c r="B16" s="16" t="s">
        <v>87</v>
      </c>
      <c r="D16" s="33" t="n">
        <f aca="false">SUM(D7:D15)</f>
        <v>67.36</v>
      </c>
      <c r="E16" s="33" t="n">
        <f aca="false">SUM(E7:E15)</f>
        <v>148.192</v>
      </c>
      <c r="F16" s="33" t="n">
        <f aca="false">SUM(F7:F15)</f>
        <v>134.72</v>
      </c>
      <c r="G16" s="33" t="n">
        <f aca="false">SUM(G7:G15)</f>
        <v>107.776</v>
      </c>
    </row>
    <row r="18" customFormat="false" ht="21.75" hidden="false" customHeight="true" outlineLevel="0" collapsed="false">
      <c r="A18" s="7" t="s">
        <v>88</v>
      </c>
      <c r="B18" s="7"/>
      <c r="C18" s="7"/>
      <c r="D18" s="7"/>
      <c r="E18" s="7"/>
      <c r="F18" s="7"/>
      <c r="G18" s="7"/>
    </row>
    <row r="19" customFormat="false" ht="15" hidden="false" customHeight="false" outlineLevel="0" collapsed="false">
      <c r="A19" s="31" t="s">
        <v>62</v>
      </c>
      <c r="B19" s="31" t="s">
        <v>63</v>
      </c>
      <c r="C19" s="31" t="s">
        <v>64</v>
      </c>
      <c r="D19" s="31" t="s">
        <v>65</v>
      </c>
      <c r="E19" s="31" t="s">
        <v>66</v>
      </c>
      <c r="F19" s="31" t="s">
        <v>67</v>
      </c>
      <c r="G19" s="31" t="s">
        <v>68</v>
      </c>
    </row>
    <row r="20" customFormat="false" ht="15" hidden="false" customHeight="false" outlineLevel="0" collapsed="false">
      <c r="A20" s="32" t="s">
        <v>89</v>
      </c>
      <c r="B20" s="12" t="s">
        <v>90</v>
      </c>
      <c r="C20" s="13" t="n">
        <v>1</v>
      </c>
      <c r="D20" s="15" t="n">
        <v>2.31</v>
      </c>
      <c r="E20" s="15" t="n">
        <f aca="false">D20*2.2</f>
        <v>5.082</v>
      </c>
      <c r="F20" s="15" t="n">
        <f aca="false">D20*2</f>
        <v>4.62</v>
      </c>
      <c r="G20" s="15" t="n">
        <f aca="false">D20*1.6</f>
        <v>3.696</v>
      </c>
    </row>
    <row r="21" customFormat="false" ht="15" hidden="false" customHeight="false" outlineLevel="0" collapsed="false">
      <c r="A21" s="32" t="s">
        <v>91</v>
      </c>
      <c r="B21" s="12" t="s">
        <v>92</v>
      </c>
      <c r="C21" s="13" t="n">
        <v>1</v>
      </c>
      <c r="D21" s="15" t="n">
        <v>22.18</v>
      </c>
      <c r="E21" s="15" t="n">
        <f aca="false">D21*2.2</f>
        <v>48.796</v>
      </c>
      <c r="F21" s="15" t="n">
        <f aca="false">D21*2</f>
        <v>44.36</v>
      </c>
      <c r="G21" s="15" t="n">
        <f aca="false">D21*1.6</f>
        <v>35.488</v>
      </c>
    </row>
    <row r="22" customFormat="false" ht="15" hidden="false" customHeight="false" outlineLevel="0" collapsed="false">
      <c r="A22" s="32" t="s">
        <v>93</v>
      </c>
      <c r="B22" s="12" t="s">
        <v>94</v>
      </c>
      <c r="C22" s="13" t="n">
        <v>1</v>
      </c>
      <c r="D22" s="15" t="n">
        <v>2.61</v>
      </c>
      <c r="E22" s="15" t="n">
        <f aca="false">D22*2.2</f>
        <v>5.742</v>
      </c>
      <c r="F22" s="15" t="n">
        <f aca="false">D22*2</f>
        <v>5.22</v>
      </c>
      <c r="G22" s="15" t="n">
        <f aca="false">D22*1.6</f>
        <v>4.176</v>
      </c>
    </row>
    <row r="23" customFormat="false" ht="15" hidden="false" customHeight="false" outlineLevel="0" collapsed="false">
      <c r="A23" s="32" t="s">
        <v>95</v>
      </c>
      <c r="B23" s="12" t="s">
        <v>96</v>
      </c>
      <c r="C23" s="13" t="n">
        <v>0.005</v>
      </c>
      <c r="D23" s="15" t="n">
        <v>15.64</v>
      </c>
      <c r="E23" s="15" t="n">
        <f aca="false">D23*2.2</f>
        <v>34.408</v>
      </c>
      <c r="F23" s="15" t="n">
        <f aca="false">D23*2</f>
        <v>31.28</v>
      </c>
      <c r="G23" s="15" t="n">
        <f aca="false">D23*1.6</f>
        <v>25.024</v>
      </c>
    </row>
    <row r="24" customFormat="false" ht="23.85" hidden="false" customHeight="false" outlineLevel="0" collapsed="false">
      <c r="A24" s="32" t="s">
        <v>97</v>
      </c>
      <c r="B24" s="12" t="s">
        <v>98</v>
      </c>
      <c r="C24" s="13" t="n">
        <v>1</v>
      </c>
      <c r="D24" s="15" t="n">
        <v>8.2</v>
      </c>
      <c r="E24" s="15" t="n">
        <f aca="false">D24*2.2</f>
        <v>18.04</v>
      </c>
      <c r="F24" s="15" t="n">
        <f aca="false">D24*2</f>
        <v>16.4</v>
      </c>
      <c r="G24" s="15" t="n">
        <f aca="false">D24*1.6</f>
        <v>13.12</v>
      </c>
    </row>
    <row r="25" customFormat="false" ht="15" hidden="false" customHeight="false" outlineLevel="0" collapsed="false">
      <c r="B25" s="16" t="s">
        <v>87</v>
      </c>
      <c r="D25" s="33" t="n">
        <f aca="false">SUM(D20:D24)</f>
        <v>50.94</v>
      </c>
      <c r="E25" s="33" t="n">
        <f aca="false">SUM(E20:E24)</f>
        <v>112.068</v>
      </c>
      <c r="F25" s="33" t="n">
        <f aca="false">SUM(F20:F24)</f>
        <v>101.88</v>
      </c>
      <c r="G25" s="33" t="n">
        <f aca="false">SUM(G20:G24)</f>
        <v>81.504</v>
      </c>
    </row>
    <row r="27" customFormat="false" ht="21.75" hidden="false" customHeight="true" outlineLevel="0" collapsed="false">
      <c r="A27" s="34" t="s">
        <v>99</v>
      </c>
      <c r="B27" s="34"/>
      <c r="C27" s="34"/>
      <c r="D27" s="34"/>
      <c r="E27" s="34"/>
      <c r="F27" s="34"/>
      <c r="G27" s="34"/>
    </row>
    <row r="28" customFormat="false" ht="15" hidden="false" customHeight="false" outlineLevel="0" collapsed="false">
      <c r="A28" s="31" t="s">
        <v>62</v>
      </c>
      <c r="B28" s="31" t="s">
        <v>63</v>
      </c>
      <c r="C28" s="31" t="s">
        <v>64</v>
      </c>
      <c r="D28" s="31" t="s">
        <v>65</v>
      </c>
      <c r="E28" s="31" t="s">
        <v>66</v>
      </c>
      <c r="F28" s="31" t="s">
        <v>67</v>
      </c>
      <c r="G28" s="31" t="s">
        <v>68</v>
      </c>
    </row>
    <row r="29" customFormat="false" ht="15" hidden="false" customHeight="false" outlineLevel="0" collapsed="false">
      <c r="A29" s="32" t="s">
        <v>69</v>
      </c>
      <c r="B29" s="12" t="s">
        <v>70</v>
      </c>
      <c r="C29" s="13" t="n">
        <v>1</v>
      </c>
      <c r="D29" s="15" t="n">
        <v>1.34</v>
      </c>
      <c r="E29" s="15" t="n">
        <f aca="false">D29*2.2</f>
        <v>2.948</v>
      </c>
      <c r="F29" s="15" t="n">
        <f aca="false">D29*2</f>
        <v>2.68</v>
      </c>
      <c r="G29" s="15" t="n">
        <f aca="false">D29*1.6</f>
        <v>2.144</v>
      </c>
    </row>
    <row r="30" customFormat="false" ht="15" hidden="false" customHeight="false" outlineLevel="0" collapsed="false">
      <c r="A30" s="32" t="s">
        <v>100</v>
      </c>
      <c r="B30" s="12" t="s">
        <v>101</v>
      </c>
      <c r="C30" s="13" t="n">
        <v>1</v>
      </c>
      <c r="D30" s="15" t="n">
        <v>4.16</v>
      </c>
      <c r="E30" s="15" t="n">
        <f aca="false">D30*2.2</f>
        <v>9.152</v>
      </c>
      <c r="F30" s="15" t="n">
        <f aca="false">D30*2</f>
        <v>8.32</v>
      </c>
      <c r="G30" s="15" t="n">
        <f aca="false">D30*1.6</f>
        <v>6.656</v>
      </c>
    </row>
    <row r="31" customFormat="false" ht="15" hidden="false" customHeight="false" outlineLevel="0" collapsed="false">
      <c r="A31" s="32" t="s">
        <v>102</v>
      </c>
      <c r="B31" s="12" t="s">
        <v>103</v>
      </c>
      <c r="C31" s="13" t="n">
        <v>0.25</v>
      </c>
      <c r="D31" s="15" t="n">
        <v>56.4</v>
      </c>
      <c r="E31" s="15" t="n">
        <f aca="false">D31*2.2</f>
        <v>124.08</v>
      </c>
      <c r="F31" s="15" t="n">
        <f aca="false">D31*2</f>
        <v>112.8</v>
      </c>
      <c r="G31" s="15" t="n">
        <f aca="false">D31*1.6</f>
        <v>90.24</v>
      </c>
    </row>
    <row r="32" customFormat="false" ht="23.85" hidden="false" customHeight="false" outlineLevel="0" collapsed="false">
      <c r="A32" s="32" t="s">
        <v>104</v>
      </c>
      <c r="B32" s="12" t="s">
        <v>105</v>
      </c>
      <c r="C32" s="13" t="n">
        <v>1</v>
      </c>
      <c r="D32" s="15" t="n">
        <v>12.8</v>
      </c>
      <c r="E32" s="15" t="n">
        <f aca="false">D32*2.2</f>
        <v>28.16</v>
      </c>
      <c r="F32" s="15" t="n">
        <f aca="false">D32*2</f>
        <v>25.6</v>
      </c>
      <c r="G32" s="15" t="n">
        <f aca="false">D32*1.6</f>
        <v>20.48</v>
      </c>
    </row>
    <row r="33" customFormat="false" ht="15" hidden="false" customHeight="false" outlineLevel="0" collapsed="false">
      <c r="B33" s="16" t="s">
        <v>87</v>
      </c>
      <c r="D33" s="33" t="n">
        <f aca="false">SUM(D29:D32)</f>
        <v>74.7</v>
      </c>
      <c r="E33" s="33" t="n">
        <f aca="false">SUM(E29:E32)</f>
        <v>164.34</v>
      </c>
      <c r="F33" s="33" t="n">
        <f aca="false">SUM(F29:F32)</f>
        <v>149.4</v>
      </c>
      <c r="G33" s="33" t="n">
        <f aca="false">SUM(G29:G32)</f>
        <v>119.52</v>
      </c>
    </row>
    <row r="36" customFormat="false" ht="15" hidden="false" customHeight="true" outlineLevel="0" collapsed="false">
      <c r="A36" s="35" t="s">
        <v>106</v>
      </c>
      <c r="B36" s="35"/>
      <c r="C36" s="35"/>
      <c r="D36" s="35"/>
      <c r="E36" s="35"/>
      <c r="F36" s="35"/>
      <c r="G36" s="35"/>
    </row>
    <row r="37" customFormat="false" ht="15" hidden="false" customHeight="false" outlineLevel="0" collapsed="false">
      <c r="A37" s="36" t="s">
        <v>107</v>
      </c>
      <c r="B37" s="36"/>
      <c r="C37" s="36"/>
      <c r="D37" s="36"/>
      <c r="E37" s="36"/>
      <c r="F37" s="36"/>
      <c r="G37" s="36"/>
    </row>
    <row r="38" customFormat="false" ht="15" hidden="false" customHeight="false" outlineLevel="0" collapsed="false">
      <c r="A38" s="36" t="s">
        <v>108</v>
      </c>
      <c r="B38" s="36"/>
      <c r="C38" s="36"/>
      <c r="D38" s="36"/>
      <c r="E38" s="36"/>
      <c r="F38" s="36"/>
      <c r="G38" s="36"/>
    </row>
    <row r="39" customFormat="false" ht="15" hidden="false" customHeight="false" outlineLevel="0" collapsed="false">
      <c r="A39" s="36" t="s">
        <v>109</v>
      </c>
      <c r="B39" s="36"/>
      <c r="C39" s="36"/>
      <c r="D39" s="36"/>
      <c r="E39" s="36"/>
      <c r="F39" s="36"/>
      <c r="G39" s="36"/>
    </row>
    <row r="40" customFormat="false" ht="15" hidden="false" customHeight="false" outlineLevel="0" collapsed="false">
      <c r="A40" s="37" t="s">
        <v>110</v>
      </c>
      <c r="B40" s="37"/>
      <c r="C40" s="37"/>
      <c r="D40" s="37"/>
      <c r="E40" s="37"/>
      <c r="F40" s="37"/>
      <c r="G40" s="37"/>
    </row>
  </sheetData>
  <mergeCells count="10">
    <mergeCell ref="A1:G1"/>
    <mergeCell ref="A2:G2"/>
    <mergeCell ref="A5:G5"/>
    <mergeCell ref="A18:G18"/>
    <mergeCell ref="A27:G27"/>
    <mergeCell ref="A36:G36"/>
    <mergeCell ref="A37:G37"/>
    <mergeCell ref="A38:G38"/>
    <mergeCell ref="A39:G39"/>
    <mergeCell ref="A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6" min="5" style="0" width="14"/>
  </cols>
  <sheetData>
    <row r="1" customFormat="false" ht="27.75" hidden="false" customHeight="true" outlineLevel="0" collapsed="false">
      <c r="A1" s="28" t="s">
        <v>111</v>
      </c>
      <c r="B1" s="28"/>
      <c r="C1" s="28"/>
      <c r="D1" s="28"/>
      <c r="E1" s="28"/>
      <c r="F1" s="28"/>
    </row>
    <row r="2" customFormat="false" ht="15" hidden="false" customHeight="true" outlineLevel="0" collapsed="false">
      <c r="A2" s="29" t="s">
        <v>112</v>
      </c>
      <c r="B2" s="29"/>
      <c r="C2" s="29"/>
      <c r="D2" s="29"/>
      <c r="E2" s="29"/>
      <c r="F2" s="29"/>
    </row>
    <row r="4" customFormat="false" ht="31.5" hidden="false" customHeight="true" outlineLevel="0" collapsed="false">
      <c r="A4" s="38" t="s">
        <v>113</v>
      </c>
      <c r="B4" s="38" t="s">
        <v>114</v>
      </c>
      <c r="C4" s="38" t="s">
        <v>29</v>
      </c>
      <c r="D4" s="38" t="s">
        <v>30</v>
      </c>
      <c r="E4" s="38" t="s">
        <v>66</v>
      </c>
      <c r="F4" s="38" t="s">
        <v>115</v>
      </c>
    </row>
    <row r="5" customFormat="false" ht="15" hidden="false" customHeight="false" outlineLevel="0" collapsed="false">
      <c r="A5" s="39" t="s">
        <v>116</v>
      </c>
      <c r="B5" s="40" t="s">
        <v>117</v>
      </c>
      <c r="C5" s="40" t="s">
        <v>39</v>
      </c>
      <c r="D5" s="41" t="s">
        <v>118</v>
      </c>
      <c r="E5" s="42" t="n">
        <v>286.5</v>
      </c>
      <c r="F5" s="43" t="n">
        <f aca="false">E5*1.143</f>
        <v>327.4695</v>
      </c>
    </row>
    <row r="6" customFormat="false" ht="15" hidden="false" customHeight="false" outlineLevel="0" collapsed="false">
      <c r="A6" s="44" t="s">
        <v>116</v>
      </c>
      <c r="B6" s="45" t="s">
        <v>119</v>
      </c>
      <c r="C6" s="45" t="s">
        <v>39</v>
      </c>
      <c r="D6" s="13" t="s">
        <v>120</v>
      </c>
      <c r="E6" s="15" t="n">
        <v>542.2</v>
      </c>
      <c r="F6" s="46" t="n">
        <f aca="false">E6*1.143</f>
        <v>619.7346</v>
      </c>
    </row>
    <row r="7" customFormat="false" ht="15" hidden="false" customHeight="false" outlineLevel="0" collapsed="false">
      <c r="A7" s="39" t="s">
        <v>116</v>
      </c>
      <c r="B7" s="40" t="s">
        <v>121</v>
      </c>
      <c r="C7" s="40" t="s">
        <v>39</v>
      </c>
      <c r="D7" s="41" t="s">
        <v>122</v>
      </c>
      <c r="E7" s="42" t="n">
        <v>875.4</v>
      </c>
      <c r="F7" s="43" t="n">
        <f aca="false">E7*1.143</f>
        <v>1000.5822</v>
      </c>
    </row>
    <row r="8" customFormat="false" ht="15" hidden="false" customHeight="false" outlineLevel="0" collapsed="false">
      <c r="A8" s="44" t="s">
        <v>116</v>
      </c>
      <c r="B8" s="45" t="s">
        <v>123</v>
      </c>
      <c r="C8" s="45" t="s">
        <v>39</v>
      </c>
      <c r="D8" s="13" t="s">
        <v>118</v>
      </c>
      <c r="E8" s="15" t="n">
        <v>310.8</v>
      </c>
      <c r="F8" s="46" t="n">
        <f aca="false">E8*1.143</f>
        <v>355.2444</v>
      </c>
    </row>
    <row r="9" customFormat="false" ht="15" hidden="false" customHeight="false" outlineLevel="0" collapsed="false">
      <c r="A9" s="39" t="s">
        <v>116</v>
      </c>
      <c r="B9" s="40" t="s">
        <v>124</v>
      </c>
      <c r="C9" s="40" t="s">
        <v>125</v>
      </c>
      <c r="D9" s="41" t="s">
        <v>126</v>
      </c>
      <c r="E9" s="42" t="n">
        <v>165.3</v>
      </c>
      <c r="F9" s="43" t="n">
        <f aca="false">E9*1.143</f>
        <v>188.9379</v>
      </c>
    </row>
    <row r="10" customFormat="false" ht="15" hidden="false" customHeight="false" outlineLevel="0" collapsed="false">
      <c r="A10" s="44" t="s">
        <v>127</v>
      </c>
      <c r="B10" s="45" t="s">
        <v>128</v>
      </c>
      <c r="C10" s="45" t="s">
        <v>36</v>
      </c>
      <c r="D10" s="13" t="s">
        <v>129</v>
      </c>
      <c r="E10" s="15" t="n">
        <v>148.15</v>
      </c>
      <c r="F10" s="46" t="n">
        <f aca="false">E10*1.143</f>
        <v>169.33545</v>
      </c>
    </row>
    <row r="11" customFormat="false" ht="15" hidden="false" customHeight="false" outlineLevel="0" collapsed="false">
      <c r="A11" s="39" t="s">
        <v>127</v>
      </c>
      <c r="B11" s="40" t="s">
        <v>130</v>
      </c>
      <c r="C11" s="40" t="s">
        <v>36</v>
      </c>
      <c r="D11" s="41" t="s">
        <v>129</v>
      </c>
      <c r="E11" s="42" t="n">
        <v>158.4</v>
      </c>
      <c r="F11" s="43" t="n">
        <f aca="false">E11*1.143</f>
        <v>181.0512</v>
      </c>
    </row>
    <row r="12" customFormat="false" ht="15" hidden="false" customHeight="false" outlineLevel="0" collapsed="false">
      <c r="A12" s="44" t="s">
        <v>127</v>
      </c>
      <c r="B12" s="45" t="s">
        <v>131</v>
      </c>
      <c r="C12" s="45" t="s">
        <v>36</v>
      </c>
      <c r="D12" s="13" t="s">
        <v>129</v>
      </c>
      <c r="E12" s="15" t="n">
        <v>168.2</v>
      </c>
      <c r="F12" s="46" t="n">
        <f aca="false">E12*1.143</f>
        <v>192.2526</v>
      </c>
    </row>
    <row r="13" customFormat="false" ht="15" hidden="false" customHeight="false" outlineLevel="0" collapsed="false">
      <c r="A13" s="39" t="s">
        <v>127</v>
      </c>
      <c r="B13" s="40" t="s">
        <v>132</v>
      </c>
      <c r="C13" s="40" t="s">
        <v>36</v>
      </c>
      <c r="D13" s="41" t="s">
        <v>129</v>
      </c>
      <c r="E13" s="42" t="n">
        <v>142.6</v>
      </c>
      <c r="F13" s="43" t="n">
        <f aca="false">E13*1.143</f>
        <v>162.9918</v>
      </c>
    </row>
    <row r="14" customFormat="false" ht="15" hidden="false" customHeight="false" outlineLevel="0" collapsed="false">
      <c r="A14" s="44" t="s">
        <v>127</v>
      </c>
      <c r="B14" s="45" t="s">
        <v>133</v>
      </c>
      <c r="C14" s="45" t="s">
        <v>36</v>
      </c>
      <c r="D14" s="13" t="s">
        <v>129</v>
      </c>
      <c r="E14" s="15" t="n">
        <v>152.3</v>
      </c>
      <c r="F14" s="46" t="n">
        <f aca="false">E14*1.143</f>
        <v>174.0789</v>
      </c>
    </row>
    <row r="15" customFormat="false" ht="15" hidden="false" customHeight="false" outlineLevel="0" collapsed="false">
      <c r="A15" s="39" t="s">
        <v>134</v>
      </c>
      <c r="B15" s="40" t="s">
        <v>135</v>
      </c>
      <c r="C15" s="40" t="s">
        <v>39</v>
      </c>
      <c r="D15" s="41" t="s">
        <v>136</v>
      </c>
      <c r="E15" s="42" t="n">
        <v>510.2</v>
      </c>
      <c r="F15" s="43" t="n">
        <f aca="false">E15*1.143</f>
        <v>583.1586</v>
      </c>
    </row>
    <row r="16" customFormat="false" ht="15" hidden="false" customHeight="false" outlineLevel="0" collapsed="false">
      <c r="A16" s="44" t="s">
        <v>134</v>
      </c>
      <c r="B16" s="45" t="s">
        <v>137</v>
      </c>
      <c r="C16" s="45" t="s">
        <v>39</v>
      </c>
      <c r="D16" s="13" t="s">
        <v>37</v>
      </c>
      <c r="E16" s="15" t="n">
        <v>388.4</v>
      </c>
      <c r="F16" s="46" t="n">
        <f aca="false">E16*1.143</f>
        <v>443.9412</v>
      </c>
    </row>
    <row r="17" customFormat="false" ht="15" hidden="false" customHeight="false" outlineLevel="0" collapsed="false">
      <c r="A17" s="39" t="s">
        <v>134</v>
      </c>
      <c r="B17" s="40" t="s">
        <v>138</v>
      </c>
      <c r="C17" s="40" t="s">
        <v>39</v>
      </c>
      <c r="D17" s="41" t="s">
        <v>139</v>
      </c>
      <c r="E17" s="42" t="n">
        <v>268.9</v>
      </c>
      <c r="F17" s="43" t="n">
        <f aca="false">E17*1.143</f>
        <v>307.3527</v>
      </c>
    </row>
    <row r="18" customFormat="false" ht="15" hidden="false" customHeight="false" outlineLevel="0" collapsed="false">
      <c r="A18" s="44" t="s">
        <v>140</v>
      </c>
      <c r="B18" s="45" t="s">
        <v>141</v>
      </c>
      <c r="C18" s="45" t="s">
        <v>39</v>
      </c>
      <c r="D18" s="13" t="s">
        <v>142</v>
      </c>
      <c r="E18" s="15" t="n">
        <v>195.4</v>
      </c>
      <c r="F18" s="46" t="n">
        <f aca="false">E18*1.143</f>
        <v>223.3422</v>
      </c>
    </row>
    <row r="19" customFormat="false" ht="15" hidden="false" customHeight="false" outlineLevel="0" collapsed="false">
      <c r="A19" s="39" t="s">
        <v>140</v>
      </c>
      <c r="B19" s="40" t="s">
        <v>143</v>
      </c>
      <c r="C19" s="40" t="s">
        <v>36</v>
      </c>
      <c r="D19" s="41" t="s">
        <v>144</v>
      </c>
      <c r="E19" s="42" t="n">
        <v>38.2</v>
      </c>
      <c r="F19" s="43" t="n">
        <f aca="false">E19*1.143</f>
        <v>43.6626</v>
      </c>
    </row>
    <row r="20" customFormat="false" ht="15" hidden="false" customHeight="false" outlineLevel="0" collapsed="false">
      <c r="A20" s="44" t="s">
        <v>140</v>
      </c>
      <c r="B20" s="45" t="s">
        <v>145</v>
      </c>
      <c r="C20" s="45" t="s">
        <v>42</v>
      </c>
      <c r="D20" s="13" t="s">
        <v>146</v>
      </c>
      <c r="E20" s="15" t="n">
        <v>197.8</v>
      </c>
      <c r="F20" s="46" t="n">
        <f aca="false">E20*1.143</f>
        <v>226.0854</v>
      </c>
    </row>
    <row r="21" customFormat="false" ht="15" hidden="false" customHeight="false" outlineLevel="0" collapsed="false">
      <c r="A21" s="39" t="s">
        <v>140</v>
      </c>
      <c r="B21" s="40" t="s">
        <v>147</v>
      </c>
      <c r="C21" s="40" t="s">
        <v>36</v>
      </c>
      <c r="D21" s="41" t="s">
        <v>144</v>
      </c>
      <c r="E21" s="42" t="n">
        <v>38.2</v>
      </c>
      <c r="F21" s="43" t="n">
        <f aca="false">E21*1.143</f>
        <v>43.6626</v>
      </c>
    </row>
    <row r="22" customFormat="false" ht="15" hidden="false" customHeight="false" outlineLevel="0" collapsed="false">
      <c r="A22" s="44" t="s">
        <v>148</v>
      </c>
      <c r="B22" s="45" t="s">
        <v>149</v>
      </c>
      <c r="C22" s="45" t="s">
        <v>39</v>
      </c>
      <c r="D22" s="13" t="s">
        <v>40</v>
      </c>
      <c r="E22" s="15" t="n">
        <v>125.4</v>
      </c>
      <c r="F22" s="46" t="n">
        <f aca="false">E22*1.143</f>
        <v>143.3322</v>
      </c>
    </row>
    <row r="23" customFormat="false" ht="15" hidden="false" customHeight="false" outlineLevel="0" collapsed="false">
      <c r="A23" s="39" t="s">
        <v>148</v>
      </c>
      <c r="B23" s="40" t="s">
        <v>150</v>
      </c>
      <c r="C23" s="40" t="s">
        <v>39</v>
      </c>
      <c r="D23" s="41" t="s">
        <v>40</v>
      </c>
      <c r="E23" s="42" t="n">
        <v>158.9</v>
      </c>
      <c r="F23" s="43" t="n">
        <f aca="false">E23*1.143</f>
        <v>181.6227</v>
      </c>
    </row>
    <row r="24" customFormat="false" ht="15" hidden="false" customHeight="false" outlineLevel="0" collapsed="false">
      <c r="A24" s="44" t="s">
        <v>148</v>
      </c>
      <c r="B24" s="45" t="s">
        <v>151</v>
      </c>
      <c r="C24" s="45" t="s">
        <v>39</v>
      </c>
      <c r="D24" s="13" t="s">
        <v>40</v>
      </c>
      <c r="E24" s="15" t="n">
        <v>162.3</v>
      </c>
      <c r="F24" s="46" t="n">
        <f aca="false">E24*1.143</f>
        <v>185.5089</v>
      </c>
    </row>
    <row r="25" customFormat="false" ht="15" hidden="false" customHeight="false" outlineLevel="0" collapsed="false">
      <c r="A25" s="39" t="s">
        <v>148</v>
      </c>
      <c r="B25" s="40" t="s">
        <v>152</v>
      </c>
      <c r="C25" s="40" t="s">
        <v>153</v>
      </c>
      <c r="D25" s="41" t="s">
        <v>154</v>
      </c>
      <c r="E25" s="42" t="n">
        <v>142.1</v>
      </c>
      <c r="F25" s="43" t="n">
        <f aca="false">E25*1.143</f>
        <v>162.4203</v>
      </c>
    </row>
    <row r="26" customFormat="false" ht="15" hidden="false" customHeight="false" outlineLevel="0" collapsed="false">
      <c r="A26" s="44" t="s">
        <v>148</v>
      </c>
      <c r="B26" s="45" t="s">
        <v>155</v>
      </c>
      <c r="C26" s="45" t="s">
        <v>39</v>
      </c>
      <c r="D26" s="13" t="s">
        <v>40</v>
      </c>
      <c r="E26" s="15" t="n">
        <v>175.6</v>
      </c>
      <c r="F26" s="46" t="n">
        <f aca="false">E26*1.143</f>
        <v>200.7108</v>
      </c>
    </row>
    <row r="27" customFormat="false" ht="15" hidden="false" customHeight="false" outlineLevel="0" collapsed="false">
      <c r="A27" s="39" t="s">
        <v>156</v>
      </c>
      <c r="B27" s="40" t="s">
        <v>157</v>
      </c>
      <c r="C27" s="40" t="s">
        <v>39</v>
      </c>
      <c r="D27" s="41" t="s">
        <v>158</v>
      </c>
      <c r="E27" s="42" t="n">
        <v>1450</v>
      </c>
      <c r="F27" s="43" t="n">
        <f aca="false">E27*1.143</f>
        <v>1657.35</v>
      </c>
    </row>
    <row r="28" customFormat="false" ht="15" hidden="false" customHeight="false" outlineLevel="0" collapsed="false">
      <c r="A28" s="44" t="s">
        <v>156</v>
      </c>
      <c r="B28" s="45" t="s">
        <v>159</v>
      </c>
      <c r="C28" s="45" t="s">
        <v>39</v>
      </c>
      <c r="D28" s="13" t="s">
        <v>158</v>
      </c>
      <c r="E28" s="15" t="n">
        <v>1520</v>
      </c>
      <c r="F28" s="46" t="n">
        <f aca="false">E28*1.143</f>
        <v>1737.36</v>
      </c>
    </row>
    <row r="29" customFormat="false" ht="15" hidden="false" customHeight="false" outlineLevel="0" collapsed="false">
      <c r="A29" s="39" t="s">
        <v>156</v>
      </c>
      <c r="B29" s="40" t="s">
        <v>160</v>
      </c>
      <c r="C29" s="40" t="s">
        <v>39</v>
      </c>
      <c r="D29" s="41" t="s">
        <v>161</v>
      </c>
      <c r="E29" s="42" t="n">
        <v>1380</v>
      </c>
      <c r="F29" s="43" t="n">
        <f aca="false">E29*1.143</f>
        <v>1577.34</v>
      </c>
    </row>
    <row r="30" customFormat="false" ht="15" hidden="false" customHeight="false" outlineLevel="0" collapsed="false">
      <c r="A30" s="44" t="s">
        <v>156</v>
      </c>
      <c r="B30" s="45" t="s">
        <v>162</v>
      </c>
      <c r="C30" s="45" t="s">
        <v>39</v>
      </c>
      <c r="D30" s="13" t="s">
        <v>163</v>
      </c>
      <c r="E30" s="15" t="n">
        <v>2240</v>
      </c>
      <c r="F30" s="46" t="n">
        <f aca="false">E30*1.143</f>
        <v>2560.32</v>
      </c>
    </row>
    <row r="31" customFormat="false" ht="15" hidden="false" customHeight="false" outlineLevel="0" collapsed="false">
      <c r="A31" s="39" t="s">
        <v>164</v>
      </c>
      <c r="B31" s="40" t="s">
        <v>165</v>
      </c>
      <c r="C31" s="40" t="s">
        <v>42</v>
      </c>
      <c r="D31" s="41" t="s">
        <v>166</v>
      </c>
      <c r="E31" s="42" t="n">
        <v>1850</v>
      </c>
      <c r="F31" s="43" t="n">
        <f aca="false">E31*1.143</f>
        <v>2114.55</v>
      </c>
    </row>
    <row r="32" customFormat="false" ht="15" hidden="false" customHeight="false" outlineLevel="0" collapsed="false">
      <c r="A32" s="44" t="s">
        <v>164</v>
      </c>
      <c r="B32" s="45" t="s">
        <v>167</v>
      </c>
      <c r="C32" s="45" t="s">
        <v>42</v>
      </c>
      <c r="D32" s="13" t="s">
        <v>168</v>
      </c>
      <c r="E32" s="15" t="n">
        <v>480</v>
      </c>
      <c r="F32" s="46" t="n">
        <f aca="false">E32*1.143</f>
        <v>548.64</v>
      </c>
    </row>
    <row r="33" customFormat="false" ht="15" hidden="false" customHeight="false" outlineLevel="0" collapsed="false">
      <c r="A33" s="39" t="s">
        <v>164</v>
      </c>
      <c r="B33" s="40" t="s">
        <v>169</v>
      </c>
      <c r="C33" s="40" t="s">
        <v>42</v>
      </c>
      <c r="D33" s="41" t="s">
        <v>170</v>
      </c>
      <c r="E33" s="42" t="n">
        <v>1240</v>
      </c>
      <c r="F33" s="43" t="n">
        <f aca="false">E33*1.143</f>
        <v>1417.32</v>
      </c>
    </row>
    <row r="34" customFormat="false" ht="15" hidden="false" customHeight="false" outlineLevel="0" collapsed="false">
      <c r="A34" s="44" t="s">
        <v>164</v>
      </c>
      <c r="B34" s="45" t="s">
        <v>171</v>
      </c>
      <c r="C34" s="45" t="s">
        <v>42</v>
      </c>
      <c r="D34" s="13" t="s">
        <v>170</v>
      </c>
      <c r="E34" s="15" t="n">
        <v>1380</v>
      </c>
      <c r="F34" s="46" t="n">
        <f aca="false">E34*1.143</f>
        <v>1577.34</v>
      </c>
    </row>
    <row r="35" customFormat="false" ht="15" hidden="false" customHeight="false" outlineLevel="0" collapsed="false">
      <c r="A35" s="39" t="s">
        <v>164</v>
      </c>
      <c r="B35" s="40" t="s">
        <v>172</v>
      </c>
      <c r="C35" s="40" t="s">
        <v>173</v>
      </c>
      <c r="D35" s="41" t="s">
        <v>174</v>
      </c>
      <c r="E35" s="42" t="n">
        <v>1180</v>
      </c>
      <c r="F35" s="43" t="n">
        <f aca="false">E35*1.143</f>
        <v>1348.74</v>
      </c>
    </row>
    <row r="36" customFormat="false" ht="15" hidden="false" customHeight="false" outlineLevel="0" collapsed="false">
      <c r="A36" s="44" t="s">
        <v>175</v>
      </c>
      <c r="B36" s="45" t="s">
        <v>176</v>
      </c>
      <c r="C36" s="45" t="s">
        <v>39</v>
      </c>
      <c r="D36" s="13" t="s">
        <v>177</v>
      </c>
      <c r="E36" s="15" t="n">
        <v>980</v>
      </c>
      <c r="F36" s="46" t="n">
        <f aca="false">E36*1.143</f>
        <v>1120.14</v>
      </c>
    </row>
    <row r="37" customFormat="false" ht="15" hidden="false" customHeight="false" outlineLevel="0" collapsed="false">
      <c r="A37" s="39" t="s">
        <v>175</v>
      </c>
      <c r="B37" s="40" t="s">
        <v>178</v>
      </c>
      <c r="C37" s="40" t="s">
        <v>125</v>
      </c>
      <c r="D37" s="41" t="s">
        <v>179</v>
      </c>
      <c r="E37" s="42" t="n">
        <v>720</v>
      </c>
      <c r="F37" s="43" t="n">
        <f aca="false">E37*1.143</f>
        <v>822.96</v>
      </c>
    </row>
    <row r="38" customFormat="false" ht="15" hidden="false" customHeight="false" outlineLevel="0" collapsed="false">
      <c r="A38" s="44" t="s">
        <v>175</v>
      </c>
      <c r="B38" s="45" t="s">
        <v>180</v>
      </c>
      <c r="C38" s="45" t="s">
        <v>42</v>
      </c>
      <c r="D38" s="13" t="s">
        <v>181</v>
      </c>
      <c r="E38" s="15" t="n">
        <v>2150</v>
      </c>
      <c r="F38" s="46" t="n">
        <f aca="false">E38*1.143</f>
        <v>2457.45</v>
      </c>
    </row>
    <row r="41" customFormat="false" ht="15" hidden="false" customHeight="false" outlineLevel="0" collapsed="false">
      <c r="A41" s="47" t="s">
        <v>182</v>
      </c>
      <c r="B41" s="47"/>
      <c r="C41" s="47"/>
      <c r="D41" s="47"/>
      <c r="E41" s="47"/>
      <c r="F41" s="47"/>
    </row>
    <row r="42" customFormat="false" ht="15" hidden="false" customHeight="false" outlineLevel="0" collapsed="false">
      <c r="A42" s="36" t="s">
        <v>183</v>
      </c>
      <c r="B42" s="36"/>
      <c r="C42" s="36"/>
      <c r="D42" s="36"/>
      <c r="E42" s="36"/>
      <c r="F42" s="36"/>
    </row>
    <row r="43" customFormat="false" ht="15" hidden="false" customHeight="false" outlineLevel="0" collapsed="false">
      <c r="A43" s="36" t="s">
        <v>184</v>
      </c>
      <c r="B43" s="36"/>
      <c r="C43" s="36"/>
      <c r="D43" s="36"/>
      <c r="E43" s="36"/>
      <c r="F43" s="36"/>
    </row>
    <row r="44" customFormat="false" ht="15" hidden="false" customHeight="false" outlineLevel="0" collapsed="false">
      <c r="A44" s="36" t="s">
        <v>185</v>
      </c>
      <c r="B44" s="36"/>
      <c r="C44" s="36"/>
      <c r="D44" s="36"/>
      <c r="E44" s="36"/>
      <c r="F44" s="36"/>
    </row>
    <row r="45" customFormat="false" ht="15" hidden="false" customHeight="false" outlineLevel="0" collapsed="false">
      <c r="A45" s="36" t="s">
        <v>186</v>
      </c>
      <c r="B45" s="36"/>
      <c r="C45" s="36"/>
      <c r="D45" s="36"/>
      <c r="E45" s="36"/>
      <c r="F45" s="36"/>
    </row>
    <row r="46" customFormat="false" ht="15" hidden="false" customHeight="false" outlineLevel="0" collapsed="false">
      <c r="A46" s="36" t="s">
        <v>187</v>
      </c>
      <c r="B46" s="36"/>
      <c r="C46" s="36"/>
      <c r="D46" s="36"/>
      <c r="E46" s="36"/>
      <c r="F46" s="36"/>
    </row>
    <row r="47" customFormat="false" ht="15" hidden="false" customHeight="false" outlineLevel="0" collapsed="false">
      <c r="A47" s="36" t="s">
        <v>188</v>
      </c>
      <c r="B47" s="36"/>
      <c r="C47" s="36"/>
      <c r="D47" s="36"/>
      <c r="E47" s="36"/>
      <c r="F47" s="36"/>
    </row>
  </sheetData>
  <mergeCells count="9">
    <mergeCell ref="A1:F1"/>
    <mergeCell ref="A2:F2"/>
    <mergeCell ref="A41:F41"/>
    <mergeCell ref="A42:F42"/>
    <mergeCell ref="A43:F43"/>
    <mergeCell ref="A44:F44"/>
    <mergeCell ref="A45:F45"/>
    <mergeCell ref="A46:F46"/>
    <mergeCell ref="A47:F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30"/>
  </cols>
  <sheetData>
    <row r="1" customFormat="false" ht="27.75" hidden="false" customHeight="true" outlineLevel="0" collapsed="false">
      <c r="A1" s="48" t="s">
        <v>189</v>
      </c>
      <c r="B1" s="48"/>
      <c r="C1" s="48"/>
      <c r="D1" s="48"/>
    </row>
    <row r="3" customFormat="false" ht="15" hidden="false" customHeight="true" outlineLevel="0" collapsed="false">
      <c r="A3" s="26" t="s">
        <v>190</v>
      </c>
      <c r="B3" s="26"/>
      <c r="C3" s="26"/>
      <c r="D3" s="26"/>
    </row>
    <row r="4" customFormat="false" ht="39.75" hidden="false" customHeight="true" outlineLevel="0" collapsed="false">
      <c r="A4" s="49" t="s">
        <v>191</v>
      </c>
      <c r="B4" s="49"/>
      <c r="C4" s="49"/>
      <c r="D4" s="49"/>
    </row>
    <row r="6" customFormat="false" ht="15" hidden="false" customHeight="true" outlineLevel="0" collapsed="false">
      <c r="A6" s="26" t="s">
        <v>192</v>
      </c>
      <c r="B6" s="26"/>
      <c r="C6" s="26"/>
      <c r="D6" s="26"/>
    </row>
    <row r="7" customFormat="false" ht="45" hidden="false" customHeight="true" outlineLevel="0" collapsed="false">
      <c r="A7" s="49" t="s">
        <v>193</v>
      </c>
      <c r="B7" s="49"/>
      <c r="C7" s="49"/>
      <c r="D7" s="49"/>
    </row>
    <row r="9" customFormat="false" ht="15" hidden="false" customHeight="true" outlineLevel="0" collapsed="false">
      <c r="A9" s="26" t="s">
        <v>194</v>
      </c>
      <c r="B9" s="26"/>
      <c r="C9" s="26"/>
      <c r="D9" s="26"/>
    </row>
    <row r="10" customFormat="false" ht="60" hidden="false" customHeight="true" outlineLevel="0" collapsed="false">
      <c r="A10" s="49" t="s">
        <v>195</v>
      </c>
      <c r="B10" s="49"/>
      <c r="C10" s="49"/>
      <c r="D10" s="49"/>
    </row>
    <row r="12" customFormat="false" ht="15" hidden="false" customHeight="true" outlineLevel="0" collapsed="false">
      <c r="A12" s="26" t="s">
        <v>196</v>
      </c>
      <c r="B12" s="26"/>
      <c r="C12" s="26"/>
      <c r="D12" s="26"/>
    </row>
    <row r="13" customFormat="false" ht="120" hidden="false" customHeight="true" outlineLevel="0" collapsed="false">
      <c r="A13" s="49" t="s">
        <v>197</v>
      </c>
      <c r="B13" s="49"/>
      <c r="C13" s="49"/>
      <c r="D13" s="49"/>
    </row>
    <row r="15" customFormat="false" ht="15" hidden="false" customHeight="true" outlineLevel="0" collapsed="false">
      <c r="A15" s="26" t="s">
        <v>198</v>
      </c>
      <c r="B15" s="26"/>
      <c r="C15" s="26"/>
      <c r="D15" s="26"/>
    </row>
    <row r="16" customFormat="false" ht="75" hidden="false" customHeight="true" outlineLevel="0" collapsed="false">
      <c r="A16" s="49" t="s">
        <v>199</v>
      </c>
      <c r="B16" s="49"/>
      <c r="C16" s="49"/>
      <c r="D16" s="49"/>
    </row>
    <row r="18" customFormat="false" ht="15" hidden="false" customHeight="true" outlineLevel="0" collapsed="false">
      <c r="A18" s="26" t="s">
        <v>200</v>
      </c>
      <c r="B18" s="26"/>
      <c r="C18" s="26"/>
      <c r="D18" s="26"/>
    </row>
    <row r="19" customFormat="false" ht="45" hidden="false" customHeight="true" outlineLevel="0" collapsed="false">
      <c r="A19" s="49" t="s">
        <v>201</v>
      </c>
      <c r="B19" s="49"/>
      <c r="C19" s="49"/>
      <c r="D19" s="49"/>
    </row>
    <row r="21" customFormat="false" ht="15" hidden="false" customHeight="true" outlineLevel="0" collapsed="false">
      <c r="A21" s="26" t="s">
        <v>202</v>
      </c>
      <c r="B21" s="26"/>
      <c r="C21" s="26"/>
      <c r="D21" s="26"/>
    </row>
    <row r="22" customFormat="false" ht="45" hidden="false" customHeight="true" outlineLevel="0" collapsed="false">
      <c r="A22" s="49" t="s">
        <v>203</v>
      </c>
      <c r="B22" s="49"/>
      <c r="C22" s="49"/>
      <c r="D22" s="49"/>
    </row>
    <row r="24" customFormat="false" ht="15" hidden="false" customHeight="true" outlineLevel="0" collapsed="false">
      <c r="A24" s="26" t="s">
        <v>204</v>
      </c>
      <c r="B24" s="26"/>
      <c r="C24" s="26"/>
      <c r="D24" s="26"/>
    </row>
    <row r="25" customFormat="false" ht="60" hidden="false" customHeight="true" outlineLevel="0" collapsed="false">
      <c r="A25" s="49" t="s">
        <v>205</v>
      </c>
      <c r="B25" s="49"/>
      <c r="C25" s="49"/>
      <c r="D25" s="49"/>
    </row>
    <row r="27" customFormat="false" ht="15" hidden="false" customHeight="true" outlineLevel="0" collapsed="false">
      <c r="A27" s="26" t="s">
        <v>206</v>
      </c>
      <c r="B27" s="26"/>
      <c r="C27" s="26"/>
      <c r="D27" s="26"/>
    </row>
    <row r="28" customFormat="false" ht="39.75" hidden="false" customHeight="true" outlineLevel="0" collapsed="false">
      <c r="A28" s="49" t="s">
        <v>207</v>
      </c>
      <c r="B28" s="49"/>
      <c r="C28" s="49"/>
      <c r="D28" s="49"/>
    </row>
  </sheetData>
  <mergeCells count="19">
    <mergeCell ref="A1:D1"/>
    <mergeCell ref="A3:D3"/>
    <mergeCell ref="A4:D4"/>
    <mergeCell ref="A6:D6"/>
    <mergeCell ref="A7:D7"/>
    <mergeCell ref="A9:D9"/>
    <mergeCell ref="A10:D10"/>
    <mergeCell ref="A12:D12"/>
    <mergeCell ref="A13:D13"/>
    <mergeCell ref="A15:D15"/>
    <mergeCell ref="A16:D16"/>
    <mergeCell ref="A18:D18"/>
    <mergeCell ref="A19:D19"/>
    <mergeCell ref="A21:D21"/>
    <mergeCell ref="A22:D22"/>
    <mergeCell ref="A24:D24"/>
    <mergeCell ref="A25:D25"/>
    <mergeCell ref="A27:D27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2026-06-07T02:56:58Z</dcterms:created>
  <dc:creator>openpyxl</dc:creator>
  <dc:description/>
  <dc:language>en-US</dc:language>
  <cp:lastModifiedBy/>
  <dcterms:modified xsi:type="dcterms:W3CDTF">2026-06-07T02:56:58Z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