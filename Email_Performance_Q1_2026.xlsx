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s" sheetId="1" state="visible" r:id="rId3"/>
    <sheet name="Rankings" sheetId="2" state="visible" r:id="rId4"/>
    <sheet name="Regio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<sst xmlns="http://schemas.openxmlformats.org/spreadsheetml/2006/main" count="269" uniqueCount="148">
  <si>
    <t xml:space="preserve">MACROGEN IBEROAMÉRICA · Email Performance · Q1 2026</t>
  </si>
  <si>
    <t xml:space="preserve">17 campaigns · Brevo · Feb 4 — May 12, 2026 · Generated May 18, 2026</t>
  </si>
  <si>
    <t xml:space="preserve">#</t>
  </si>
  <si>
    <t xml:space="preserve">Campaign Name</t>
  </si>
  <si>
    <t xml:space="preserve">Sent Date</t>
  </si>
  <si>
    <t xml:space="preserve">Time</t>
  </si>
  <si>
    <t xml:space="preserve">Subject Line</t>
  </si>
  <si>
    <t xml:space="preserve">Sender</t>
  </si>
  <si>
    <t xml:space="preserve">Region</t>
  </si>
  <si>
    <t xml:space="preserve">Delivered</t>
  </si>
  <si>
    <t xml:space="preserve">Delivery %</t>
  </si>
  <si>
    <t xml:space="preserve">Opens</t>
  </si>
  <si>
    <t xml:space="preserve">Open %</t>
  </si>
  <si>
    <t xml:space="preserve">Clicks</t>
  </si>
  <si>
    <t xml:space="preserve">Click %</t>
  </si>
  <si>
    <t xml:space="preserve">Clicks/Open</t>
  </si>
  <si>
    <t xml:space="preserve">Quality Flag</t>
  </si>
  <si>
    <t xml:space="preserve">Unsubs</t>
  </si>
  <si>
    <t xml:space="preserve">Unsub %</t>
  </si>
  <si>
    <t xml:space="preserve">Est. True CTR</t>
  </si>
  <si>
    <t xml:space="preserve">Notes</t>
  </si>
  <si>
    <t xml:space="preserve">Año nuevo lunar 2026</t>
  </si>
  <si>
    <t xml:space="preserve">2026-03-13</t>
  </si>
  <si>
    <t xml:space="preserve">13:59</t>
  </si>
  <si>
    <t xml:space="preserve">Deseándole éxito en este nuevo año lunar</t>
  </si>
  <si>
    <t xml:space="preserve">info-chile@macrogen.com</t>
  </si>
  <si>
    <t xml:space="preserve">Chile</t>
  </si>
  <si>
    <t xml:space="preserve">Aplicaciones NGS ESPAÑA</t>
  </si>
  <si>
    <t xml:space="preserve">2026-04-23</t>
  </si>
  <si>
    <t xml:space="preserve">10:32</t>
  </si>
  <si>
    <t xml:space="preserve">Arquitectura Genómica 360°: El futuro de su investigación</t>
  </si>
  <si>
    <t xml:space="preserve">info-spain@macrogen.com</t>
  </si>
  <si>
    <t xml:space="preserve">Spain</t>
  </si>
  <si>
    <t xml:space="preserve">April_promo_01-04_Chile</t>
  </si>
  <si>
    <t xml:space="preserve">2026-03-30</t>
  </si>
  <si>
    <t xml:space="preserve">09:43</t>
  </si>
  <si>
    <t xml:space="preserve">Campaña de primavera</t>
  </si>
  <si>
    <t xml:space="preserve">April_promo_01-04 (Spain)</t>
  </si>
  <si>
    <t xml:space="preserve">09:11</t>
  </si>
  <si>
    <t xml:space="preserve">Campaña de primavera en Macrogen</t>
  </si>
  <si>
    <t xml:space="preserve">🚨 Broken links — audit HTML</t>
  </si>
  <si>
    <t xml:space="preserve">En febrero, ¡Seguímos Secuenciando!</t>
  </si>
  <si>
    <t xml:space="preserve">2026-02-05</t>
  </si>
  <si>
    <t xml:space="preserve">22:32</t>
  </si>
  <si>
    <t xml:space="preserve">⚠ Low delivery — list hygiene</t>
  </si>
  <si>
    <t xml:space="preserve">Fragment y Bienvenida Francisco</t>
  </si>
  <si>
    <t xml:space="preserve">2026-03-27</t>
  </si>
  <si>
    <t xml:space="preserve">15:27</t>
  </si>
  <si>
    <t xml:space="preserve">Solución completa para Análisis de Fragmentos</t>
  </si>
  <si>
    <t xml:space="preserve">Inflated by security bots</t>
  </si>
  <si>
    <t xml:space="preserve">Recordatorio Prepagos</t>
  </si>
  <si>
    <t xml:space="preserve">2026-03-23</t>
  </si>
  <si>
    <t xml:space="preserve">14:11</t>
  </si>
  <si>
    <t xml:space="preserve">Prepago Macrogen: Simplificando tu proceso administrativo</t>
  </si>
  <si>
    <t xml:space="preserve">March_Discount (Spain)</t>
  </si>
  <si>
    <t xml:space="preserve">2026-02-04</t>
  </si>
  <si>
    <t xml:space="preserve">09:57</t>
  </si>
  <si>
    <t xml:space="preserve">Oferta Macrogen: Algo que creemos que te gustará</t>
  </si>
  <si>
    <t xml:space="preserve">macrogenmad@gmail.com</t>
  </si>
  <si>
    <t xml:space="preserve">March_Discount_copy (Spain)</t>
  </si>
  <si>
    <t xml:space="preserve">2026-02-26</t>
  </si>
  <si>
    <t xml:space="preserve">11:40</t>
  </si>
  <si>
    <t xml:space="preserve">Oferta Macrogen: Descuentos Marzo</t>
  </si>
  <si>
    <t xml:space="preserve">March madness</t>
  </si>
  <si>
    <t xml:space="preserve">2026-03-31</t>
  </si>
  <si>
    <t xml:space="preserve">16:51</t>
  </si>
  <si>
    <t xml:space="preserve">Un regalo para su laboratorio: voucher gratuito de secuenciación</t>
  </si>
  <si>
    <t xml:space="preserve">jaykim@macrogen.com</t>
  </si>
  <si>
    <t xml:space="preserve">NGS 10% Otoño 2026 (Chile)</t>
  </si>
  <si>
    <t xml:space="preserve">14:00</t>
  </si>
  <si>
    <t xml:space="preserve">¡Aprovecha tu descuento en NGS!</t>
  </si>
  <si>
    <t xml:space="preserve">Arquitectura Genómica 360° (Chile)</t>
  </si>
  <si>
    <t xml:space="preserve">16:03</t>
  </si>
  <si>
    <t xml:space="preserve">Bioinformatics_Chile</t>
  </si>
  <si>
    <t xml:space="preserve">2026-05-12</t>
  </si>
  <si>
    <t xml:space="preserve">16:37</t>
  </si>
  <si>
    <t xml:space="preserve">¿Sus datos NGS están listos para una revista Q1?</t>
  </si>
  <si>
    <t xml:space="preserve">Bioinformatica_Macrogen_España</t>
  </si>
  <si>
    <t xml:space="preserve">11:33</t>
  </si>
  <si>
    <t xml:space="preserve">No dejes tus datos en el disco duro: Pásalos a la acción</t>
  </si>
  <si>
    <t xml:space="preserve">Macrogen NGS Services</t>
  </si>
  <si>
    <t xml:space="preserve">2026-04-16</t>
  </si>
  <si>
    <t xml:space="preserve">21:22</t>
  </si>
  <si>
    <t xml:space="preserve">Servicios de Metagenómica NGS - Macrogen Chile</t>
  </si>
  <si>
    <t xml:space="preserve">Sanger Sequencing Chile</t>
  </si>
  <si>
    <t xml:space="preserve">2026-04-09</t>
  </si>
  <si>
    <t xml:space="preserve">23:11</t>
  </si>
  <si>
    <t xml:space="preserve">Nuevo Consultor de Proyectos e Información General sobre Servicios</t>
  </si>
  <si>
    <t xml:space="preserve">francisco@macrogen.com</t>
  </si>
  <si>
    <t xml:space="preserve">Suport Tecnico Chile</t>
  </si>
  <si>
    <t xml:space="preserve">2026-04-06</t>
  </si>
  <si>
    <t xml:space="preserve">15:57</t>
  </si>
  <si>
    <t xml:space="preserve">[AVISO] Actualización de políticas de almacenamiento y datos</t>
  </si>
  <si>
    <t xml:space="preserve">support-chile@macrogen.com</t>
  </si>
  <si>
    <t xml:space="preserve">TOTALS</t>
  </si>
  <si>
    <t xml:space="preserve">RANKINGS · Top &amp; Bottom Performers</t>
  </si>
  <si>
    <t xml:space="preserve">🏆 TOP 5 · BY OPEN RATE</t>
  </si>
  <si>
    <t xml:space="preserve">Campaign</t>
  </si>
  <si>
    <t xml:space="preserve">Subject</t>
  </si>
  <si>
    <t xml:space="preserve">Open Rate</t>
  </si>
  <si>
    <t xml:space="preserve">📉 BOTTOM 3 · BY OPEN RATE</t>
  </si>
  <si>
    <t xml:space="preserve">🚨 NEEDS ATTENTION · Broken or Bot-Inflated</t>
  </si>
  <si>
    <t xml:space="preserve">Issue</t>
  </si>
  <si>
    <t xml:space="preserve">⚠ 1.7x bots</t>
  </si>
  <si>
    <t xml:space="preserve">❌ Zero clicks</t>
  </si>
  <si>
    <t xml:space="preserve">⚠ 2.0x bots</t>
  </si>
  <si>
    <t xml:space="preserve">🚨 3.1x bots</t>
  </si>
  <si>
    <t xml:space="preserve">⚠ 2.5x bots</t>
  </si>
  <si>
    <t xml:space="preserve">⚠ 3.0x bots</t>
  </si>
  <si>
    <t xml:space="preserve">🚨 5.2x bots</t>
  </si>
  <si>
    <t xml:space="preserve">🚨 4.5x bots</t>
  </si>
  <si>
    <t xml:space="preserve">🚨 5.1x bots</t>
  </si>
  <si>
    <t xml:space="preserve">⚠ 2.6x bots</t>
  </si>
  <si>
    <t xml:space="preserve">👤 SENDERS · Open rate avg</t>
  </si>
  <si>
    <t xml:space="preserve">Sender Email</t>
  </si>
  <si>
    <t xml:space="preserve">Campaigns Sent</t>
  </si>
  <si>
    <t xml:space="preserve">Avg Open Rate</t>
  </si>
  <si>
    <t xml:space="preserve">REGIONAL SUMMARY · 🇨🇱 Chile vs 🇪🇸 Spain</t>
  </si>
  <si>
    <t xml:space="preserve">Metric</t>
  </si>
  <si>
    <t xml:space="preserve">🇨🇱 Chile</t>
  </si>
  <si>
    <t xml:space="preserve">🇪🇸 Spain</t>
  </si>
  <si>
    <t xml:space="preserve">Reading</t>
  </si>
  <si>
    <t xml:space="preserve">Campaigns sent</t>
  </si>
  <si>
    <t xml:space="preserve">Total volume by region</t>
  </si>
  <si>
    <t xml:space="preserve">Total delivered</t>
  </si>
  <si>
    <t xml:space="preserve">Cumulative reach</t>
  </si>
  <si>
    <t xml:space="preserve">Avg delivery rate</t>
  </si>
  <si>
    <t xml:space="preserve">Higher = cleaner list / better domain reputation</t>
  </si>
  <si>
    <t xml:space="preserve">Total opens</t>
  </si>
  <si>
    <t xml:space="preserve">Engagement volume</t>
  </si>
  <si>
    <t xml:space="preserve">Aggregate open rate</t>
  </si>
  <si>
    <t xml:space="preserve">Weighted by campaign size</t>
  </si>
  <si>
    <t xml:space="preserve">Total clicks (raw)</t>
  </si>
  <si>
    <t xml:space="preserve">Includes bot/scanner clicks</t>
  </si>
  <si>
    <t xml:space="preserve">Aggregate click rate (raw)</t>
  </si>
  <si>
    <t xml:space="preserve">⚠ Chile inflated by security scanners</t>
  </si>
  <si>
    <t xml:space="preserve">Total unsubs</t>
  </si>
  <si>
    <t xml:space="preserve">Lower is better</t>
  </si>
  <si>
    <t xml:space="preserve">Aggregate unsub rate</t>
  </si>
  <si>
    <t xml:space="preserve">Benchmark &lt;1% NGS industry</t>
  </si>
  <si>
    <t xml:space="preserve">Avg list size / campaign</t>
  </si>
  <si>
    <t xml:space="preserve">Spain ~1.5x bigger</t>
  </si>
  <si>
    <t xml:space="preserve">KEY INSIGHTS</t>
  </si>
  <si>
    <t xml:space="preserve">• Chile: smaller list (~13.5K) but higher delivery rate — cleaner subscriber base</t>
  </si>
  <si>
    <t xml:space="preserve">• Spain: 50% larger audience, slightly better open rates, BUT 3 campaigns with broken links</t>
  </si>
  <si>
    <t xml:space="preserve">• Chile click metrics inflated 3-5x by corporate email security scanners — enable bot filter in Brevo</t>
  </si>
  <si>
    <t xml:space="preserve">• Spain bioinformatics campaign #79 has clean 4.32% CTR — true benchmark for the segment</t>
  </si>
  <si>
    <t xml:space="preserve">• Personal-name senders (Francisco, Jay) outperform brand senders by 8-15 points in opens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</si>
</sst>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0%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A2240"/>
      <name val="Calibri"/>
      <family val="0"/>
      <charset val="1"/>
    </font>
    <font>
      <sz val="10"/>
      <color rgb="FF1A1A1A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0"/>
      <color rgb="FF00A1A7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84BD00"/>
      <name val="Calibri"/>
      <family val="0"/>
      <charset val="1"/>
    </font>
    <font>
      <b val="true"/>
      <sz val="10"/>
      <color rgb="FFE0004D"/>
      <name val="Calibri"/>
      <family val="0"/>
      <charset val="1"/>
    </font>
    <font>
      <b val="true"/>
      <sz val="10"/>
      <color rgb="FFF39200"/>
      <name val="Calibri"/>
      <family val="0"/>
      <charset val="1"/>
    </font>
    <font>
      <sz val="1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A2240"/>
        <bgColor rgb="FF1A1A1A"/>
      </patternFill>
    </fill>
    <fill>
      <patternFill patternType="solid">
        <fgColor rgb="FFEAF6FB"/>
        <bgColor rgb="FFF5F7FA"/>
      </patternFill>
    </fill>
    <fill>
      <patternFill patternType="solid">
        <fgColor rgb="FFFDEEEC"/>
        <bgColor rgb="FFFEF7E8"/>
      </patternFill>
    </fill>
    <fill>
      <patternFill patternType="solid">
        <fgColor rgb="FF84BD00"/>
        <bgColor rgb="FF808000"/>
      </patternFill>
    </fill>
    <fill>
      <patternFill patternType="solid">
        <fgColor rgb="FFEAF6E5"/>
        <bgColor rgb="FFEAF6FB"/>
      </patternFill>
    </fill>
    <fill>
      <patternFill patternType="solid">
        <fgColor rgb="FFE0004D"/>
        <bgColor rgb="FF800080"/>
      </patternFill>
    </fill>
    <fill>
      <patternFill patternType="solid">
        <fgColor rgb="FFF39200"/>
        <bgColor rgb="FFFF6600"/>
      </patternFill>
    </fill>
    <fill>
      <patternFill patternType="solid">
        <fgColor rgb="FFFEF7E8"/>
        <bgColor rgb="FFFFF9E5"/>
      </patternFill>
    </fill>
    <fill>
      <patternFill patternType="solid">
        <fgColor rgb="FF00A1A7"/>
        <bgColor rgb="FF008080"/>
      </patternFill>
    </fill>
    <fill>
      <patternFill patternType="solid">
        <fgColor rgb="FFFFF9E5"/>
        <bgColor rgb="FFFEF7E8"/>
      </patternFill>
    </fill>
    <fill>
      <patternFill patternType="solid">
        <fgColor rgb="FFF5F7FA"/>
        <bgColor rgb="FFEA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EEEC"/>
        </patternFill>
      </fill>
    </dxf>
    <dxf>
      <fill>
        <patternFill>
          <bgColor rgb="FFFEF7E8"/>
        </patternFill>
      </fill>
    </dxf>
    <dxf>
      <fill>
        <patternFill>
          <bgColor rgb="FFEAF6E5"/>
        </patternFill>
      </fill>
    </dxf>
  </dxfs>
  <colors>
    <indexedColors>
      <rgbColor rgb="FF000000"/>
      <rgbColor rgb="FFFFFFFF"/>
      <rgbColor rgb="FFE0004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1A7"/>
      <rgbColor rgb="FFC0C0C0"/>
      <rgbColor rgb="FF808080"/>
      <rgbColor rgb="FF9999FF"/>
      <rgbColor rgb="FF993366"/>
      <rgbColor rgb="FFFFF9E5"/>
      <rgbColor rgb="FFEAF6FB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EAF6E5"/>
      <rgbColor rgb="FFFEF7E8"/>
      <rgbColor rgb="FF99CCFF"/>
      <rgbColor rgb="FFFF99CC"/>
      <rgbColor rgb="FFCC99FF"/>
      <rgbColor rgb="FFFDEEEC"/>
      <rgbColor rgb="FF3366FF"/>
      <rgbColor rgb="FF33CCCC"/>
      <rgbColor rgb="FF84BD00"/>
      <rgbColor rgb="FFFFCC00"/>
      <rgbColor rgb="FFF39200"/>
      <rgbColor rgb="FFFF6600"/>
      <rgbColor rgb="FF6B7280"/>
      <rgbColor rgb="FF969696"/>
      <rgbColor rgb="FF0A2240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3" min="10" style="0" width="9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7" min="16" style="0" width="9"/>
    <col collapsed="false" customWidth="true" hidden="false" outlineLevel="0" max="18" min="18" style="0" width="12"/>
    <col collapsed="false" customWidth="true" hidden="false" outlineLevel="0" max="19" min="19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62</v>
      </c>
      <c r="B5" s="5" t="s">
        <v>21</v>
      </c>
      <c r="C5" s="6" t="s">
        <v>22</v>
      </c>
      <c r="D5" s="7" t="s">
        <v>23</v>
      </c>
      <c r="E5" s="8" t="s">
        <v>24</v>
      </c>
      <c r="F5" s="8" t="s">
        <v>25</v>
      </c>
      <c r="G5" s="9" t="s">
        <v>26</v>
      </c>
      <c r="H5" s="10" t="n">
        <v>13714</v>
      </c>
      <c r="I5" s="11" t="n">
        <v>0.9677</v>
      </c>
      <c r="J5" s="12" t="n">
        <v>5008</v>
      </c>
      <c r="K5" s="11" t="n">
        <f aca="false">J5/H5</f>
        <v>0.365174274464051</v>
      </c>
      <c r="L5" s="12" t="n">
        <v>4826</v>
      </c>
      <c r="M5" s="11" t="n">
        <f aca="false">L5/H5</f>
        <v>0.351903164649264</v>
      </c>
      <c r="N5" s="13" t="n">
        <f aca="false">IF(J5=0,0,L5/J5)</f>
        <v>0.963658146964856</v>
      </c>
      <c r="O5" s="14" t="str">
        <f aca="false">IF(L5=0,"❌ Broken links",IF(N5&gt;3,"🚨 Bot inflated 3x+",IF(N5&gt;1.5,"⚠ Bot moderate","✓ Clean")))</f>
        <v>✓ Clean</v>
      </c>
      <c r="P5" s="12" t="n">
        <v>60</v>
      </c>
      <c r="Q5" s="11" t="n">
        <f aca="false">P5/H5</f>
        <v>0.00437509114773224</v>
      </c>
      <c r="R5" s="15" t="n">
        <f aca="false">IF(L5=0,0,IF(N5&gt;1.5,J5*0.15/H5,L5/H5))</f>
        <v>0.351903164649264</v>
      </c>
      <c r="S5" s="8"/>
    </row>
    <row r="6" customFormat="false" ht="15" hidden="false" customHeight="false" outlineLevel="0" collapsed="false">
      <c r="A6" s="4" t="n">
        <v>57</v>
      </c>
      <c r="B6" s="5" t="s">
        <v>27</v>
      </c>
      <c r="C6" s="6" t="s">
        <v>28</v>
      </c>
      <c r="D6" s="7" t="s">
        <v>29</v>
      </c>
      <c r="E6" s="8" t="s">
        <v>30</v>
      </c>
      <c r="F6" s="8" t="s">
        <v>31</v>
      </c>
      <c r="G6" s="16" t="s">
        <v>32</v>
      </c>
      <c r="H6" s="10" t="n">
        <v>20738</v>
      </c>
      <c r="I6" s="11" t="n">
        <v>0.9444</v>
      </c>
      <c r="J6" s="12" t="n">
        <v>7731</v>
      </c>
      <c r="K6" s="11" t="n">
        <f aca="false">J6/H6</f>
        <v>0.372793904908863</v>
      </c>
      <c r="L6" s="12" t="n">
        <v>6302</v>
      </c>
      <c r="M6" s="11" t="n">
        <f aca="false">L6/H6</f>
        <v>0.30388658501302</v>
      </c>
      <c r="N6" s="13" t="n">
        <f aca="false">IF(J6=0,0,L6/J6)</f>
        <v>0.81515974647523</v>
      </c>
      <c r="O6" s="14" t="str">
        <f aca="false">IF(L6=0,"❌ Broken links",IF(N6&gt;3,"🚨 Bot inflated 3x+",IF(N6&gt;1.5,"⚠ Bot moderate","✓ Clean")))</f>
        <v>✓ Clean</v>
      </c>
      <c r="P6" s="12" t="n">
        <v>79</v>
      </c>
      <c r="Q6" s="11" t="n">
        <f aca="false">P6/H6</f>
        <v>0.00380943196065194</v>
      </c>
      <c r="R6" s="15" t="n">
        <f aca="false">IF(L6=0,0,IF(N6&gt;1.5,J6*0.15/H6,L6/H6))</f>
        <v>0.30388658501302</v>
      </c>
      <c r="S6" s="8"/>
    </row>
    <row r="7" customFormat="false" ht="15" hidden="false" customHeight="false" outlineLevel="0" collapsed="false">
      <c r="A7" s="4" t="n">
        <v>67</v>
      </c>
      <c r="B7" s="5" t="s">
        <v>33</v>
      </c>
      <c r="C7" s="6" t="s">
        <v>34</v>
      </c>
      <c r="D7" s="7" t="s">
        <v>35</v>
      </c>
      <c r="E7" s="8" t="s">
        <v>36</v>
      </c>
      <c r="F7" s="8" t="s">
        <v>25</v>
      </c>
      <c r="G7" s="9" t="s">
        <v>26</v>
      </c>
      <c r="H7" s="10" t="n">
        <v>13498</v>
      </c>
      <c r="I7" s="11" t="n">
        <v>0.9675</v>
      </c>
      <c r="J7" s="12" t="n">
        <v>3903</v>
      </c>
      <c r="K7" s="11" t="n">
        <f aca="false">J7/H7</f>
        <v>0.289153948733146</v>
      </c>
      <c r="L7" s="12" t="n">
        <v>6743</v>
      </c>
      <c r="M7" s="11" t="n">
        <f aca="false">L7/H7</f>
        <v>0.499555489702178</v>
      </c>
      <c r="N7" s="13" t="n">
        <f aca="false">IF(J7=0,0,L7/J7)</f>
        <v>1.72764540097361</v>
      </c>
      <c r="O7" s="14" t="str">
        <f aca="false">IF(L7=0,"❌ Broken links",IF(N7&gt;3,"🚨 Bot inflated 3x+",IF(N7&gt;1.5,"⚠ Bot moderate","✓ Clean")))</f>
        <v>⚠ Bot moderate</v>
      </c>
      <c r="P7" s="12" t="n">
        <v>58</v>
      </c>
      <c r="Q7" s="11" t="n">
        <f aca="false">P7/H7</f>
        <v>0.00429693287894503</v>
      </c>
      <c r="R7" s="15" t="n">
        <f aca="false">IF(L7=0,0,IF(N7&gt;1.5,J7*0.15/H7,L7/H7))</f>
        <v>0.0433730923099718</v>
      </c>
      <c r="S7" s="8"/>
    </row>
    <row r="8" customFormat="false" ht="15" hidden="false" customHeight="false" outlineLevel="0" collapsed="false">
      <c r="A8" s="4" t="n">
        <v>66</v>
      </c>
      <c r="B8" s="5" t="s">
        <v>37</v>
      </c>
      <c r="C8" s="6" t="s">
        <v>34</v>
      </c>
      <c r="D8" s="7" t="s">
        <v>38</v>
      </c>
      <c r="E8" s="8" t="s">
        <v>39</v>
      </c>
      <c r="F8" s="8" t="s">
        <v>31</v>
      </c>
      <c r="G8" s="16" t="s">
        <v>32</v>
      </c>
      <c r="H8" s="10" t="n">
        <v>21383</v>
      </c>
      <c r="I8" s="11" t="n">
        <v>0.9374</v>
      </c>
      <c r="J8" s="12" t="n">
        <v>6095</v>
      </c>
      <c r="K8" s="11" t="n">
        <f aca="false">J8/H8</f>
        <v>0.285039517373615</v>
      </c>
      <c r="L8" s="12" t="n">
        <v>0</v>
      </c>
      <c r="M8" s="11" t="n">
        <f aca="false">L8/H8</f>
        <v>0</v>
      </c>
      <c r="N8" s="13" t="n">
        <f aca="false">IF(J8=0,0,L8/J8)</f>
        <v>0</v>
      </c>
      <c r="O8" s="14" t="str">
        <f aca="false">IF(L8=0,"❌ Broken links",IF(N8&gt;3,"🚨 Bot inflated 3x+",IF(N8&gt;1.5,"⚠ Bot moderate","✓ Clean")))</f>
        <v>❌ Broken links</v>
      </c>
      <c r="P8" s="12" t="n">
        <v>140</v>
      </c>
      <c r="Q8" s="11" t="n">
        <f aca="false">P8/H8</f>
        <v>0.00654725716690829</v>
      </c>
      <c r="R8" s="15" t="n">
        <f aca="false">IF(L8=0,0,IF(N8&gt;1.5,J8*0.15/H8,L8/H8))</f>
        <v>0</v>
      </c>
      <c r="S8" s="8" t="s">
        <v>40</v>
      </c>
    </row>
    <row r="9" customFormat="false" ht="15" hidden="false" customHeight="false" outlineLevel="0" collapsed="false">
      <c r="A9" s="4" t="n">
        <v>59</v>
      </c>
      <c r="B9" s="5" t="s">
        <v>41</v>
      </c>
      <c r="C9" s="6" t="s">
        <v>42</v>
      </c>
      <c r="D9" s="7" t="s">
        <v>43</v>
      </c>
      <c r="E9" s="8" t="s">
        <v>41</v>
      </c>
      <c r="F9" s="8" t="s">
        <v>25</v>
      </c>
      <c r="G9" s="9" t="s">
        <v>26</v>
      </c>
      <c r="H9" s="10" t="n">
        <v>13690</v>
      </c>
      <c r="I9" s="11" t="n">
        <v>0.8469</v>
      </c>
      <c r="J9" s="12" t="n">
        <v>4251</v>
      </c>
      <c r="K9" s="11" t="n">
        <f aca="false">J9/H9</f>
        <v>0.310518626734843</v>
      </c>
      <c r="L9" s="12" t="n">
        <v>8497</v>
      </c>
      <c r="M9" s="11" t="n">
        <f aca="false">L9/H9</f>
        <v>0.620672023374726</v>
      </c>
      <c r="N9" s="13" t="n">
        <f aca="false">IF(J9=0,0,L9/J9)</f>
        <v>1.99882380616326</v>
      </c>
      <c r="O9" s="14" t="str">
        <f aca="false">IF(L9=0,"❌ Broken links",IF(N9&gt;3,"🚨 Bot inflated 3x+",IF(N9&gt;1.5,"⚠ Bot moderate","✓ Clean")))</f>
        <v>⚠ Bot moderate</v>
      </c>
      <c r="P9" s="12" t="n">
        <v>112</v>
      </c>
      <c r="Q9" s="11" t="n">
        <f aca="false">P9/H9</f>
        <v>0.00818115412710007</v>
      </c>
      <c r="R9" s="15" t="n">
        <f aca="false">IF(L9=0,0,IF(N9&gt;1.5,J9*0.15/H9,L9/H9))</f>
        <v>0.0465777940102264</v>
      </c>
      <c r="S9" s="8" t="s">
        <v>44</v>
      </c>
    </row>
    <row r="10" customFormat="false" ht="15" hidden="false" customHeight="false" outlineLevel="0" collapsed="false">
      <c r="A10" s="4" t="n">
        <v>65</v>
      </c>
      <c r="B10" s="5" t="s">
        <v>45</v>
      </c>
      <c r="C10" s="6" t="s">
        <v>46</v>
      </c>
      <c r="D10" s="7" t="s">
        <v>47</v>
      </c>
      <c r="E10" s="8" t="s">
        <v>48</v>
      </c>
      <c r="F10" s="8" t="s">
        <v>25</v>
      </c>
      <c r="G10" s="9" t="s">
        <v>26</v>
      </c>
      <c r="H10" s="10" t="n">
        <v>13573</v>
      </c>
      <c r="I10" s="11" t="n">
        <v>0.9669</v>
      </c>
      <c r="J10" s="12" t="n">
        <v>4182</v>
      </c>
      <c r="K10" s="11" t="n">
        <f aca="false">J10/H10</f>
        <v>0.308111692330362</v>
      </c>
      <c r="L10" s="12" t="n">
        <v>12771</v>
      </c>
      <c r="M10" s="11" t="n">
        <f aca="false">L10/H10</f>
        <v>0.940912104914168</v>
      </c>
      <c r="N10" s="13" t="n">
        <f aca="false">IF(J10=0,0,L10/J10)</f>
        <v>3.05380200860832</v>
      </c>
      <c r="O10" s="14" t="str">
        <f aca="false">IF(L10=0,"❌ Broken links",IF(N10&gt;3,"🚨 Bot inflated 3x+",IF(N10&gt;1.5,"⚠ Bot moderate","✓ Clean")))</f>
        <v>🚨 Bot inflated 3x+</v>
      </c>
      <c r="P10" s="12" t="n">
        <v>61</v>
      </c>
      <c r="Q10" s="11" t="n">
        <f aca="false">P10/H10</f>
        <v>0.00449421645914684</v>
      </c>
      <c r="R10" s="15" t="n">
        <f aca="false">IF(L10=0,0,IF(N10&gt;1.5,J10*0.15/H10,L10/H10))</f>
        <v>0.0462167538495543</v>
      </c>
      <c r="S10" s="8" t="s">
        <v>49</v>
      </c>
    </row>
    <row r="11" customFormat="false" ht="15" hidden="false" customHeight="false" outlineLevel="0" collapsed="false">
      <c r="A11" s="4" t="n">
        <v>63</v>
      </c>
      <c r="B11" s="5" t="s">
        <v>50</v>
      </c>
      <c r="C11" s="6" t="s">
        <v>51</v>
      </c>
      <c r="D11" s="7" t="s">
        <v>52</v>
      </c>
      <c r="E11" s="8" t="s">
        <v>53</v>
      </c>
      <c r="F11" s="8" t="s">
        <v>25</v>
      </c>
      <c r="G11" s="9" t="s">
        <v>26</v>
      </c>
      <c r="H11" s="10" t="n">
        <v>13618</v>
      </c>
      <c r="I11" s="11" t="n">
        <v>0.966</v>
      </c>
      <c r="J11" s="12" t="n">
        <v>4192</v>
      </c>
      <c r="K11" s="11" t="n">
        <f aca="false">J11/H11</f>
        <v>0.307827874871494</v>
      </c>
      <c r="L11" s="12" t="n">
        <v>10645</v>
      </c>
      <c r="M11" s="11" t="n">
        <f aca="false">L11/H11</f>
        <v>0.781686003818476</v>
      </c>
      <c r="N11" s="13" t="n">
        <f aca="false">IF(J11=0,0,L11/J11)</f>
        <v>2.5393606870229</v>
      </c>
      <c r="O11" s="14" t="str">
        <f aca="false">IF(L11=0,"❌ Broken links",IF(N11&gt;3,"🚨 Bot inflated 3x+",IF(N11&gt;1.5,"⚠ Bot moderate","✓ Clean")))</f>
        <v>⚠ Bot moderate</v>
      </c>
      <c r="P11" s="12" t="n">
        <v>43</v>
      </c>
      <c r="Q11" s="11" t="n">
        <f aca="false">P11/H11</f>
        <v>0.0031575855485387</v>
      </c>
      <c r="R11" s="15" t="n">
        <f aca="false">IF(L11=0,0,IF(N11&gt;1.5,J11*0.15/H11,L11/H11))</f>
        <v>0.046174181230724</v>
      </c>
      <c r="S11" s="8"/>
    </row>
    <row r="12" customFormat="false" ht="15" hidden="false" customHeight="false" outlineLevel="0" collapsed="false">
      <c r="A12" s="4" t="n">
        <v>58</v>
      </c>
      <c r="B12" s="5" t="s">
        <v>54</v>
      </c>
      <c r="C12" s="6" t="s">
        <v>55</v>
      </c>
      <c r="D12" s="7" t="s">
        <v>56</v>
      </c>
      <c r="E12" s="8" t="s">
        <v>57</v>
      </c>
      <c r="F12" s="8" t="s">
        <v>58</v>
      </c>
      <c r="G12" s="16" t="s">
        <v>32</v>
      </c>
      <c r="H12" s="10" t="n">
        <v>1132</v>
      </c>
      <c r="I12" s="11" t="n">
        <v>0.9465</v>
      </c>
      <c r="J12" s="12" t="n">
        <v>564</v>
      </c>
      <c r="K12" s="11" t="n">
        <f aca="false">J12/H12</f>
        <v>0.498233215547703</v>
      </c>
      <c r="L12" s="12" t="n">
        <v>0</v>
      </c>
      <c r="M12" s="11" t="n">
        <f aca="false">L12/H12</f>
        <v>0</v>
      </c>
      <c r="N12" s="13" t="n">
        <f aca="false">IF(J12=0,0,L12/J12)</f>
        <v>0</v>
      </c>
      <c r="O12" s="14" t="str">
        <f aca="false">IF(L12=0,"❌ Broken links",IF(N12&gt;3,"🚨 Bot inflated 3x+",IF(N12&gt;1.5,"⚠ Bot moderate","✓ Clean")))</f>
        <v>❌ Broken links</v>
      </c>
      <c r="P12" s="12" t="n">
        <v>6</v>
      </c>
      <c r="Q12" s="11" t="n">
        <f aca="false">P12/H12</f>
        <v>0.00530035335689046</v>
      </c>
      <c r="R12" s="15" t="n">
        <f aca="false">IF(L12=0,0,IF(N12&gt;1.5,J12*0.15/H12,L12/H12))</f>
        <v>0</v>
      </c>
      <c r="S12" s="8" t="s">
        <v>40</v>
      </c>
    </row>
    <row r="13" customFormat="false" ht="15" hidden="false" customHeight="false" outlineLevel="0" collapsed="false">
      <c r="A13" s="4" t="n">
        <v>61</v>
      </c>
      <c r="B13" s="5" t="s">
        <v>59</v>
      </c>
      <c r="C13" s="6" t="s">
        <v>60</v>
      </c>
      <c r="D13" s="7" t="s">
        <v>61</v>
      </c>
      <c r="E13" s="8" t="s">
        <v>62</v>
      </c>
      <c r="F13" s="8" t="s">
        <v>31</v>
      </c>
      <c r="G13" s="16" t="s">
        <v>32</v>
      </c>
      <c r="H13" s="10" t="n">
        <v>14974</v>
      </c>
      <c r="I13" s="11" t="n">
        <v>0.9201</v>
      </c>
      <c r="J13" s="12" t="n">
        <v>8093</v>
      </c>
      <c r="K13" s="11" t="n">
        <f aca="false">J13/H13</f>
        <v>0.540470148256979</v>
      </c>
      <c r="L13" s="12" t="n">
        <v>0</v>
      </c>
      <c r="M13" s="11" t="n">
        <f aca="false">L13/H13</f>
        <v>0</v>
      </c>
      <c r="N13" s="13" t="n">
        <f aca="false">IF(J13=0,0,L13/J13)</f>
        <v>0</v>
      </c>
      <c r="O13" s="14" t="str">
        <f aca="false">IF(L13=0,"❌ Broken links",IF(N13&gt;3,"🚨 Bot inflated 3x+",IF(N13&gt;1.5,"⚠ Bot moderate","✓ Clean")))</f>
        <v>❌ Broken links</v>
      </c>
      <c r="P13" s="12" t="n">
        <v>118</v>
      </c>
      <c r="Q13" s="11" t="n">
        <f aca="false">P13/H13</f>
        <v>0.00788032589822359</v>
      </c>
      <c r="R13" s="15" t="n">
        <f aca="false">IF(L13=0,0,IF(N13&gt;1.5,J13*0.15/H13,L13/H13))</f>
        <v>0</v>
      </c>
      <c r="S13" s="8" t="s">
        <v>40</v>
      </c>
    </row>
    <row r="14" customFormat="false" ht="15" hidden="false" customHeight="false" outlineLevel="0" collapsed="false">
      <c r="A14" s="4" t="n">
        <v>68</v>
      </c>
      <c r="B14" s="5" t="s">
        <v>63</v>
      </c>
      <c r="C14" s="6" t="s">
        <v>64</v>
      </c>
      <c r="D14" s="7" t="s">
        <v>65</v>
      </c>
      <c r="E14" s="8" t="s">
        <v>66</v>
      </c>
      <c r="F14" s="8" t="s">
        <v>67</v>
      </c>
      <c r="G14" s="9" t="s">
        <v>26</v>
      </c>
      <c r="H14" s="10" t="n">
        <v>13511</v>
      </c>
      <c r="I14" s="11" t="n">
        <v>0.9664</v>
      </c>
      <c r="J14" s="12" t="n">
        <v>4676</v>
      </c>
      <c r="K14" s="11" t="n">
        <f aca="false">J14/H14</f>
        <v>0.346088372437273</v>
      </c>
      <c r="L14" s="12" t="n">
        <v>13928</v>
      </c>
      <c r="M14" s="11" t="n">
        <f aca="false">L14/H14</f>
        <v>1.03086374065576</v>
      </c>
      <c r="N14" s="13" t="n">
        <f aca="false">IF(J14=0,0,L14/J14)</f>
        <v>2.97861420017109</v>
      </c>
      <c r="O14" s="14" t="str">
        <f aca="false">IF(L14=0,"❌ Broken links",IF(N14&gt;3,"🚨 Bot inflated 3x+",IF(N14&gt;1.5,"⚠ Bot moderate","✓ Clean")))</f>
        <v>⚠ Bot moderate</v>
      </c>
      <c r="P14" s="12" t="n">
        <v>58</v>
      </c>
      <c r="Q14" s="11" t="n">
        <f aca="false">P14/H14</f>
        <v>0.00429279846051366</v>
      </c>
      <c r="R14" s="15" t="n">
        <f aca="false">IF(L14=0,0,IF(N14&gt;1.5,J14*0.15/H14,L14/H14))</f>
        <v>0.051913255865591</v>
      </c>
      <c r="S14" s="8"/>
    </row>
    <row r="15" customFormat="false" ht="15" hidden="false" customHeight="false" outlineLevel="0" collapsed="false">
      <c r="A15" s="4" t="n">
        <v>60</v>
      </c>
      <c r="B15" s="5" t="s">
        <v>68</v>
      </c>
      <c r="C15" s="6" t="s">
        <v>60</v>
      </c>
      <c r="D15" s="7" t="s">
        <v>69</v>
      </c>
      <c r="E15" s="8" t="s">
        <v>70</v>
      </c>
      <c r="F15" s="8" t="s">
        <v>25</v>
      </c>
      <c r="G15" s="9" t="s">
        <v>26</v>
      </c>
      <c r="H15" s="10" t="n">
        <v>13897</v>
      </c>
      <c r="I15" s="11" t="n">
        <v>0.9734</v>
      </c>
      <c r="J15" s="12" t="n">
        <v>4740</v>
      </c>
      <c r="K15" s="11" t="n">
        <f aca="false">J15/H15</f>
        <v>0.341080808807656</v>
      </c>
      <c r="L15" s="12" t="n">
        <v>9513</v>
      </c>
      <c r="M15" s="11" t="n">
        <f aca="false">L15/H15</f>
        <v>0.684536230841189</v>
      </c>
      <c r="N15" s="13" t="n">
        <f aca="false">IF(J15=0,0,L15/J15)</f>
        <v>2.00696202531646</v>
      </c>
      <c r="O15" s="14" t="str">
        <f aca="false">IF(L15=0,"❌ Broken links",IF(N15&gt;3,"🚨 Bot inflated 3x+",IF(N15&gt;1.5,"⚠ Bot moderate","✓ Clean")))</f>
        <v>⚠ Bot moderate</v>
      </c>
      <c r="P15" s="12" t="n">
        <v>85</v>
      </c>
      <c r="Q15" s="11" t="n">
        <f aca="false">P15/H15</f>
        <v>0.00611642800604447</v>
      </c>
      <c r="R15" s="15" t="n">
        <f aca="false">IF(L15=0,0,IF(N15&gt;1.5,J15*0.15/H15,L15/H15))</f>
        <v>0.0511621213211484</v>
      </c>
      <c r="S15" s="8"/>
    </row>
    <row r="16" customFormat="false" ht="15" hidden="false" customHeight="false" outlineLevel="0" collapsed="false">
      <c r="A16" s="4" t="n">
        <v>77</v>
      </c>
      <c r="B16" s="5" t="s">
        <v>71</v>
      </c>
      <c r="C16" s="6" t="s">
        <v>28</v>
      </c>
      <c r="D16" s="7" t="s">
        <v>72</v>
      </c>
      <c r="E16" s="8" t="s">
        <v>30</v>
      </c>
      <c r="F16" s="8" t="s">
        <v>25</v>
      </c>
      <c r="G16" s="9" t="s">
        <v>26</v>
      </c>
      <c r="H16" s="10" t="n">
        <v>13362</v>
      </c>
      <c r="I16" s="11" t="n">
        <v>0.9672</v>
      </c>
      <c r="J16" s="12" t="n">
        <v>3434</v>
      </c>
      <c r="K16" s="11" t="n">
        <f aca="false">J16/H16</f>
        <v>0.256997455470738</v>
      </c>
      <c r="L16" s="12" t="n">
        <v>17879</v>
      </c>
      <c r="M16" s="11" t="n">
        <f aca="false">L16/H16</f>
        <v>1.33804819637779</v>
      </c>
      <c r="N16" s="13" t="n">
        <f aca="false">IF(J16=0,0,L16/J16)</f>
        <v>5.20646476412347</v>
      </c>
      <c r="O16" s="14" t="str">
        <f aca="false">IF(L16=0,"❌ Broken links",IF(N16&gt;3,"🚨 Bot inflated 3x+",IF(N16&gt;1.5,"⚠ Bot moderate","✓ Clean")))</f>
        <v>🚨 Bot inflated 3x+</v>
      </c>
      <c r="P16" s="12" t="n">
        <v>33</v>
      </c>
      <c r="Q16" s="11" t="n">
        <f aca="false">P16/H16</f>
        <v>0.00246969016614279</v>
      </c>
      <c r="R16" s="15" t="n">
        <f aca="false">IF(L16=0,0,IF(N16&gt;1.5,J16*0.15/H16,L16/H16))</f>
        <v>0.0385496183206107</v>
      </c>
      <c r="S16" s="8" t="s">
        <v>49</v>
      </c>
    </row>
    <row r="17" customFormat="false" ht="15" hidden="false" customHeight="false" outlineLevel="0" collapsed="false">
      <c r="A17" s="4" t="n">
        <v>78</v>
      </c>
      <c r="B17" s="5" t="s">
        <v>73</v>
      </c>
      <c r="C17" s="6" t="s">
        <v>74</v>
      </c>
      <c r="D17" s="7" t="s">
        <v>75</v>
      </c>
      <c r="E17" s="8" t="s">
        <v>76</v>
      </c>
      <c r="F17" s="8" t="s">
        <v>25</v>
      </c>
      <c r="G17" s="9" t="s">
        <v>26</v>
      </c>
      <c r="H17" s="10" t="n">
        <v>13312</v>
      </c>
      <c r="I17" s="11" t="n">
        <v>0.9677</v>
      </c>
      <c r="J17" s="12" t="n">
        <v>3939</v>
      </c>
      <c r="K17" s="11" t="n">
        <f aca="false">J17/H17</f>
        <v>0.2958984375</v>
      </c>
      <c r="L17" s="12" t="n">
        <v>17531</v>
      </c>
      <c r="M17" s="11" t="n">
        <f aca="false">L17/H17</f>
        <v>1.31693209134615</v>
      </c>
      <c r="N17" s="13" t="n">
        <f aca="false">IF(J17=0,0,L17/J17)</f>
        <v>4.45062198527545</v>
      </c>
      <c r="O17" s="14" t="str">
        <f aca="false">IF(L17=0,"❌ Broken links",IF(N17&gt;3,"🚨 Bot inflated 3x+",IF(N17&gt;1.5,"⚠ Bot moderate","✓ Clean")))</f>
        <v>🚨 Bot inflated 3x+</v>
      </c>
      <c r="P17" s="12" t="n">
        <v>20</v>
      </c>
      <c r="Q17" s="11" t="n">
        <f aca="false">P17/H17</f>
        <v>0.00150240384615385</v>
      </c>
      <c r="R17" s="15" t="n">
        <f aca="false">IF(L17=0,0,IF(N17&gt;1.5,J17*0.15/H17,L17/H17))</f>
        <v>0.044384765625</v>
      </c>
      <c r="S17" s="8" t="s">
        <v>49</v>
      </c>
    </row>
    <row r="18" customFormat="false" ht="15" hidden="false" customHeight="false" outlineLevel="0" collapsed="false">
      <c r="A18" s="4" t="n">
        <v>79</v>
      </c>
      <c r="B18" s="5" t="s">
        <v>77</v>
      </c>
      <c r="C18" s="6" t="s">
        <v>74</v>
      </c>
      <c r="D18" s="7" t="s">
        <v>78</v>
      </c>
      <c r="E18" s="8" t="s">
        <v>79</v>
      </c>
      <c r="F18" s="8" t="s">
        <v>31</v>
      </c>
      <c r="G18" s="16" t="s">
        <v>32</v>
      </c>
      <c r="H18" s="10" t="n">
        <v>20853</v>
      </c>
      <c r="I18" s="11" t="n">
        <v>0.9581</v>
      </c>
      <c r="J18" s="12" t="n">
        <v>5819</v>
      </c>
      <c r="K18" s="11" t="n">
        <f aca="false">J18/H18</f>
        <v>0.279048578142234</v>
      </c>
      <c r="L18" s="12" t="n">
        <v>900</v>
      </c>
      <c r="M18" s="11" t="n">
        <f aca="false">L18/H18</f>
        <v>0.0431592576607682</v>
      </c>
      <c r="N18" s="13" t="n">
        <f aca="false">IF(J18=0,0,L18/J18)</f>
        <v>0.154665750128888</v>
      </c>
      <c r="O18" s="14" t="str">
        <f aca="false">IF(L18=0,"❌ Broken links",IF(N18&gt;3,"🚨 Bot inflated 3x+",IF(N18&gt;1.5,"⚠ Bot moderate","✓ Clean")))</f>
        <v>✓ Clean</v>
      </c>
      <c r="P18" s="12" t="n">
        <v>56</v>
      </c>
      <c r="Q18" s="11" t="n">
        <f aca="false">P18/H18</f>
        <v>0.00268546492111447</v>
      </c>
      <c r="R18" s="15" t="n">
        <f aca="false">IF(L18=0,0,IF(N18&gt;1.5,J18*0.15/H18,L18/H18))</f>
        <v>0.0431592576607682</v>
      </c>
      <c r="S18" s="8"/>
    </row>
    <row r="19" customFormat="false" ht="15" hidden="false" customHeight="false" outlineLevel="0" collapsed="false">
      <c r="A19" s="4" t="n">
        <v>75</v>
      </c>
      <c r="B19" s="5" t="s">
        <v>80</v>
      </c>
      <c r="C19" s="6" t="s">
        <v>81</v>
      </c>
      <c r="D19" s="7" t="s">
        <v>82</v>
      </c>
      <c r="E19" s="8" t="s">
        <v>83</v>
      </c>
      <c r="F19" s="8" t="s">
        <v>25</v>
      </c>
      <c r="G19" s="9" t="s">
        <v>26</v>
      </c>
      <c r="H19" s="10" t="n">
        <v>13381</v>
      </c>
      <c r="I19" s="11" t="n">
        <v>0.9676</v>
      </c>
      <c r="J19" s="12" t="n">
        <v>3684</v>
      </c>
      <c r="K19" s="11" t="n">
        <f aca="false">J19/H19</f>
        <v>0.275315746207309</v>
      </c>
      <c r="L19" s="12" t="n">
        <v>18905</v>
      </c>
      <c r="M19" s="11" t="n">
        <f aca="false">L19/H19</f>
        <v>1.4128241536507</v>
      </c>
      <c r="N19" s="13" t="n">
        <f aca="false">IF(J19=0,0,L19/J19)</f>
        <v>5.13165038002172</v>
      </c>
      <c r="O19" s="14" t="str">
        <f aca="false">IF(L19=0,"❌ Broken links",IF(N19&gt;3,"🚨 Bot inflated 3x+",IF(N19&gt;1.5,"⚠ Bot moderate","✓ Clean")))</f>
        <v>🚨 Bot inflated 3x+</v>
      </c>
      <c r="P19" s="12" t="n">
        <v>9</v>
      </c>
      <c r="Q19" s="11" t="n">
        <f aca="false">P19/H19</f>
        <v>0.000672595471190494</v>
      </c>
      <c r="R19" s="15" t="n">
        <f aca="false">IF(L19=0,0,IF(N19&gt;1.5,J19*0.15/H19,L19/H19))</f>
        <v>0.0412973619310963</v>
      </c>
      <c r="S19" s="8" t="s">
        <v>49</v>
      </c>
    </row>
    <row r="20" customFormat="false" ht="15" hidden="false" customHeight="false" outlineLevel="0" collapsed="false">
      <c r="A20" s="4" t="n">
        <v>70</v>
      </c>
      <c r="B20" s="5" t="s">
        <v>84</v>
      </c>
      <c r="C20" s="6" t="s">
        <v>85</v>
      </c>
      <c r="D20" s="7" t="s">
        <v>86</v>
      </c>
      <c r="E20" s="8" t="s">
        <v>87</v>
      </c>
      <c r="F20" s="8" t="s">
        <v>88</v>
      </c>
      <c r="G20" s="9" t="s">
        <v>26</v>
      </c>
      <c r="H20" s="10" t="n">
        <v>13303</v>
      </c>
      <c r="I20" s="11" t="n">
        <v>0.9672</v>
      </c>
      <c r="J20" s="12" t="n">
        <v>5700</v>
      </c>
      <c r="K20" s="11" t="n">
        <f aca="false">J20/H20</f>
        <v>0.428474780124784</v>
      </c>
      <c r="L20" s="12" t="n">
        <v>14576</v>
      </c>
      <c r="M20" s="11" t="n">
        <f aca="false">L20/H20</f>
        <v>1.09569270089454</v>
      </c>
      <c r="N20" s="13" t="n">
        <f aca="false">IF(J20=0,0,L20/J20)</f>
        <v>2.55719298245614</v>
      </c>
      <c r="O20" s="14" t="str">
        <f aca="false">IF(L20=0,"❌ Broken links",IF(N20&gt;3,"🚨 Bot inflated 3x+",IF(N20&gt;1.5,"⚠ Bot moderate","✓ Clean")))</f>
        <v>⚠ Bot moderate</v>
      </c>
      <c r="P20" s="12" t="n">
        <v>58</v>
      </c>
      <c r="Q20" s="11" t="n">
        <f aca="false">P20/H20</f>
        <v>0.00435991881530482</v>
      </c>
      <c r="R20" s="15" t="n">
        <f aca="false">IF(L20=0,0,IF(N20&gt;1.5,J20*0.15/H20,L20/H20))</f>
        <v>0.0642712170187176</v>
      </c>
      <c r="S20" s="8"/>
    </row>
    <row r="21" customFormat="false" ht="15" hidden="false" customHeight="false" outlineLevel="0" collapsed="false">
      <c r="A21" s="4" t="n">
        <v>69</v>
      </c>
      <c r="B21" s="5" t="s">
        <v>89</v>
      </c>
      <c r="C21" s="6" t="s">
        <v>90</v>
      </c>
      <c r="D21" s="7" t="s">
        <v>91</v>
      </c>
      <c r="E21" s="8" t="s">
        <v>92</v>
      </c>
      <c r="F21" s="8" t="s">
        <v>93</v>
      </c>
      <c r="G21" s="9" t="s">
        <v>26</v>
      </c>
      <c r="H21" s="10" t="n">
        <v>2570</v>
      </c>
      <c r="I21" s="11" t="n">
        <v>0.982</v>
      </c>
      <c r="J21" s="12" t="n">
        <v>1295</v>
      </c>
      <c r="K21" s="11" t="n">
        <f aca="false">J21/H21</f>
        <v>0.503891050583658</v>
      </c>
      <c r="L21" s="12" t="n">
        <v>147</v>
      </c>
      <c r="M21" s="11" t="n">
        <f aca="false">L21/H21</f>
        <v>0.0571984435797665</v>
      </c>
      <c r="N21" s="13" t="n">
        <f aca="false">IF(J21=0,0,L21/J21)</f>
        <v>0.113513513513514</v>
      </c>
      <c r="O21" s="14" t="str">
        <f aca="false">IF(L21=0,"❌ Broken links",IF(N21&gt;3,"🚨 Bot inflated 3x+",IF(N21&gt;1.5,"⚠ Bot moderate","✓ Clean")))</f>
        <v>✓ Clean</v>
      </c>
      <c r="P21" s="12" t="n">
        <v>8</v>
      </c>
      <c r="Q21" s="11" t="n">
        <f aca="false">P21/H21</f>
        <v>0.00311284046692607</v>
      </c>
      <c r="R21" s="15" t="n">
        <f aca="false">IF(L21=0,0,IF(N21&gt;1.5,J21*0.15/H21,L21/H21))</f>
        <v>0.0571984435797665</v>
      </c>
      <c r="S21" s="8"/>
    </row>
    <row r="23" customFormat="false" ht="15" hidden="false" customHeight="false" outlineLevel="0" collapsed="false">
      <c r="A23" s="17" t="s">
        <v>94</v>
      </c>
      <c r="B23" s="17"/>
      <c r="C23" s="17"/>
      <c r="D23" s="17"/>
      <c r="E23" s="17"/>
      <c r="F23" s="17"/>
      <c r="G23" s="17"/>
      <c r="H23" s="18" t="n">
        <f aca="false">SUM(H5:H21)</f>
        <v>230509</v>
      </c>
      <c r="I23" s="19" t="n">
        <f aca="false">AVERAGE(I5:I21)</f>
        <v>0.953705882352941</v>
      </c>
      <c r="J23" s="18" t="n">
        <f aca="false">SUM(J5:J21)</f>
        <v>77306</v>
      </c>
      <c r="K23" s="19" t="n">
        <f aca="false">J23/H23</f>
        <v>0.335370853198791</v>
      </c>
      <c r="L23" s="18" t="n">
        <f aca="false">SUM(L5:L21)</f>
        <v>143163</v>
      </c>
      <c r="M23" s="19" t="n">
        <f aca="false">L23/H23</f>
        <v>0.621073363729833</v>
      </c>
      <c r="N23" s="20" t="n">
        <f aca="false">IF(J23=0,0,L23/J23)</f>
        <v>1.85190024060228</v>
      </c>
      <c r="O23" s="21"/>
      <c r="P23" s="18" t="n">
        <f aca="false">SUM(P5:P21)</f>
        <v>1004</v>
      </c>
      <c r="Q23" s="19" t="n">
        <f aca="false">P23/H23</f>
        <v>0.00435557830713768</v>
      </c>
    </row>
  </sheetData>
  <mergeCells count="3">
    <mergeCell ref="A1:S1"/>
    <mergeCell ref="A2:S2"/>
    <mergeCell ref="A23:G23"/>
  </mergeCells>
  <conditionalFormatting sqref="K5:K21">
    <cfRule type="colorScale" priority="2">
      <colorScale>
        <cfvo type="num" val="0.2"/>
        <cfvo type="num" val="0.35"/>
        <cfvo type="num" val="0.55"/>
        <color rgb="FFFDEEEC"/>
        <color rgb="FFFFF9E5"/>
        <color rgb="FFEAF6E5"/>
      </colorScale>
    </cfRule>
  </conditionalFormatting>
  <conditionalFormatting sqref="Q5:Q21">
    <cfRule type="colorScale" priority="3">
      <colorScale>
        <cfvo type="num" val="0.001"/>
        <cfvo type="num" val="0.005"/>
        <cfvo type="num" val="0.01"/>
        <color rgb="FFEAF6E5"/>
        <color rgb="FFFFF9E5"/>
        <color rgb="FFFDEEEC"/>
      </colorScale>
    </cfRule>
  </conditionalFormatting>
  <conditionalFormatting sqref="I5:I21">
    <cfRule type="colorScale" priority="4">
      <colorScale>
        <cfvo type="num" val="0.85"/>
        <cfvo type="num" val="0.93"/>
        <cfvo type="num" val="0.98"/>
        <color rgb="FFFDEEEC"/>
        <color rgb="FFFFF9E5"/>
        <color rgb="FFEAF6E5"/>
      </colorScale>
    </cfRule>
  </conditionalFormatting>
  <conditionalFormatting sqref="O5:O21">
    <cfRule type="expression" priority="5" aboveAverage="0" equalAverage="0" bottom="0" percent="0" rank="0" text="" dxfId="0">
      <formula>ISNUMBER(SEARCH("Broken",O5))</formula>
    </cfRule>
    <cfRule type="expression" priority="6" aboveAverage="0" equalAverage="0" bottom="0" percent="0" rank="0" text="" dxfId="0">
      <formula>ISNUMBER(SEARCH("Bot inflated",O5))</formula>
    </cfRule>
    <cfRule type="expression" priority="7" aboveAverage="0" equalAverage="0" bottom="0" percent="0" rank="0" text="" dxfId="1">
      <formula>ISNUMBER(SEARCH("Bot moderate",O5))</formula>
    </cfRule>
    <cfRule type="expression" priority="8" aboveAverage="0" equalAverage="0" bottom="0" percent="0" rank="0" text="" dxfId="2">
      <formula>ISNUMBER(SEARCH("Clean",O5))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</row>
    <row r="3" customFormat="false" ht="21.75" hidden="false" customHeight="true" outlineLevel="0" collapsed="false">
      <c r="A3" s="22" t="s">
        <v>96</v>
      </c>
      <c r="B3" s="22"/>
      <c r="C3" s="22"/>
      <c r="D3" s="22"/>
      <c r="E3" s="22"/>
    </row>
    <row r="4" customFormat="false" ht="15" hidden="false" customHeight="false" outlineLevel="0" collapsed="false">
      <c r="A4" s="3" t="s">
        <v>2</v>
      </c>
      <c r="B4" s="3" t="s">
        <v>97</v>
      </c>
      <c r="C4" s="3" t="s">
        <v>98</v>
      </c>
      <c r="D4" s="3" t="s">
        <v>8</v>
      </c>
      <c r="E4" s="3" t="s">
        <v>99</v>
      </c>
    </row>
    <row r="5" customFormat="false" ht="15" hidden="false" customHeight="false" outlineLevel="0" collapsed="false">
      <c r="A5" s="4" t="n">
        <v>61</v>
      </c>
      <c r="B5" s="5" t="s">
        <v>59</v>
      </c>
      <c r="C5" s="8" t="s">
        <v>62</v>
      </c>
      <c r="D5" s="7" t="s">
        <v>32</v>
      </c>
      <c r="E5" s="23" t="n">
        <v>0.540470148256979</v>
      </c>
    </row>
    <row r="6" customFormat="false" ht="15" hidden="false" customHeight="false" outlineLevel="0" collapsed="false">
      <c r="A6" s="4" t="n">
        <v>69</v>
      </c>
      <c r="B6" s="5" t="s">
        <v>89</v>
      </c>
      <c r="C6" s="8" t="s">
        <v>92</v>
      </c>
      <c r="D6" s="7" t="s">
        <v>26</v>
      </c>
      <c r="E6" s="23" t="n">
        <v>0.503891050583658</v>
      </c>
    </row>
    <row r="7" customFormat="false" ht="15" hidden="false" customHeight="false" outlineLevel="0" collapsed="false">
      <c r="A7" s="4" t="n">
        <v>58</v>
      </c>
      <c r="B7" s="5" t="s">
        <v>54</v>
      </c>
      <c r="C7" s="8" t="s">
        <v>57</v>
      </c>
      <c r="D7" s="7" t="s">
        <v>32</v>
      </c>
      <c r="E7" s="23" t="n">
        <v>0.498233215547703</v>
      </c>
    </row>
    <row r="8" customFormat="false" ht="15" hidden="false" customHeight="false" outlineLevel="0" collapsed="false">
      <c r="A8" s="4" t="n">
        <v>70</v>
      </c>
      <c r="B8" s="5" t="s">
        <v>84</v>
      </c>
      <c r="C8" s="8" t="s">
        <v>87</v>
      </c>
      <c r="D8" s="7" t="s">
        <v>26</v>
      </c>
      <c r="E8" s="23" t="n">
        <v>0.428474780124784</v>
      </c>
    </row>
    <row r="9" customFormat="false" ht="15" hidden="false" customHeight="false" outlineLevel="0" collapsed="false">
      <c r="A9" s="4" t="n">
        <v>57</v>
      </c>
      <c r="B9" s="5" t="s">
        <v>27</v>
      </c>
      <c r="C9" s="8" t="s">
        <v>30</v>
      </c>
      <c r="D9" s="7" t="s">
        <v>32</v>
      </c>
      <c r="E9" s="23" t="n">
        <v>0.372793904908863</v>
      </c>
    </row>
    <row r="11" customFormat="false" ht="21.75" hidden="false" customHeight="true" outlineLevel="0" collapsed="false">
      <c r="A11" s="24" t="s">
        <v>100</v>
      </c>
      <c r="B11" s="24"/>
      <c r="C11" s="24"/>
      <c r="D11" s="24"/>
      <c r="E11" s="24"/>
    </row>
    <row r="12" customFormat="false" ht="15" hidden="false" customHeight="false" outlineLevel="0" collapsed="false">
      <c r="A12" s="3" t="s">
        <v>2</v>
      </c>
      <c r="B12" s="3" t="s">
        <v>97</v>
      </c>
      <c r="C12" s="3" t="s">
        <v>98</v>
      </c>
      <c r="D12" s="3" t="s">
        <v>8</v>
      </c>
      <c r="E12" s="3" t="s">
        <v>99</v>
      </c>
    </row>
    <row r="13" customFormat="false" ht="15" hidden="false" customHeight="false" outlineLevel="0" collapsed="false">
      <c r="A13" s="4" t="n">
        <v>79</v>
      </c>
      <c r="B13" s="5" t="s">
        <v>77</v>
      </c>
      <c r="C13" s="8" t="s">
        <v>79</v>
      </c>
      <c r="D13" s="7" t="s">
        <v>32</v>
      </c>
      <c r="E13" s="25" t="n">
        <v>0.279048578142234</v>
      </c>
    </row>
    <row r="14" customFormat="false" ht="15" hidden="false" customHeight="false" outlineLevel="0" collapsed="false">
      <c r="A14" s="4" t="n">
        <v>75</v>
      </c>
      <c r="B14" s="5" t="s">
        <v>80</v>
      </c>
      <c r="C14" s="8" t="s">
        <v>83</v>
      </c>
      <c r="D14" s="7" t="s">
        <v>26</v>
      </c>
      <c r="E14" s="25" t="n">
        <v>0.275315746207309</v>
      </c>
    </row>
    <row r="15" customFormat="false" ht="15" hidden="false" customHeight="false" outlineLevel="0" collapsed="false">
      <c r="A15" s="4" t="n">
        <v>77</v>
      </c>
      <c r="B15" s="5" t="s">
        <v>71</v>
      </c>
      <c r="C15" s="8" t="s">
        <v>30</v>
      </c>
      <c r="D15" s="7" t="s">
        <v>26</v>
      </c>
      <c r="E15" s="25" t="n">
        <v>0.256997455470738</v>
      </c>
    </row>
    <row r="17" customFormat="false" ht="21.75" hidden="false" customHeight="true" outlineLevel="0" collapsed="false">
      <c r="A17" s="26" t="s">
        <v>101</v>
      </c>
      <c r="B17" s="26"/>
      <c r="C17" s="26"/>
      <c r="D17" s="26"/>
      <c r="E17" s="26"/>
    </row>
    <row r="18" customFormat="false" ht="15" hidden="false" customHeight="false" outlineLevel="0" collapsed="false">
      <c r="A18" s="3" t="s">
        <v>2</v>
      </c>
      <c r="B18" s="3" t="s">
        <v>97</v>
      </c>
      <c r="C18" s="3" t="s">
        <v>98</v>
      </c>
      <c r="D18" s="3" t="s">
        <v>8</v>
      </c>
      <c r="E18" s="3" t="s">
        <v>102</v>
      </c>
    </row>
    <row r="19" customFormat="false" ht="15" hidden="false" customHeight="false" outlineLevel="0" collapsed="false">
      <c r="A19" s="4" t="n">
        <v>67</v>
      </c>
      <c r="B19" s="5" t="s">
        <v>33</v>
      </c>
      <c r="C19" s="8" t="s">
        <v>36</v>
      </c>
      <c r="D19" s="7" t="s">
        <v>26</v>
      </c>
      <c r="E19" s="27" t="s">
        <v>103</v>
      </c>
    </row>
    <row r="20" customFormat="false" ht="15" hidden="false" customHeight="false" outlineLevel="0" collapsed="false">
      <c r="A20" s="4" t="n">
        <v>66</v>
      </c>
      <c r="B20" s="5" t="s">
        <v>37</v>
      </c>
      <c r="C20" s="8" t="s">
        <v>39</v>
      </c>
      <c r="D20" s="7" t="s">
        <v>32</v>
      </c>
      <c r="E20" s="28" t="s">
        <v>104</v>
      </c>
    </row>
    <row r="21" customFormat="false" ht="15" hidden="false" customHeight="false" outlineLevel="0" collapsed="false">
      <c r="A21" s="4" t="n">
        <v>59</v>
      </c>
      <c r="B21" s="5" t="s">
        <v>41</v>
      </c>
      <c r="C21" s="8" t="s">
        <v>41</v>
      </c>
      <c r="D21" s="7" t="s">
        <v>26</v>
      </c>
      <c r="E21" s="27" t="s">
        <v>105</v>
      </c>
    </row>
    <row r="22" customFormat="false" ht="15" hidden="false" customHeight="false" outlineLevel="0" collapsed="false">
      <c r="A22" s="4" t="n">
        <v>65</v>
      </c>
      <c r="B22" s="5" t="s">
        <v>45</v>
      </c>
      <c r="C22" s="8" t="s">
        <v>48</v>
      </c>
      <c r="D22" s="7" t="s">
        <v>26</v>
      </c>
      <c r="E22" s="28" t="s">
        <v>106</v>
      </c>
    </row>
    <row r="23" customFormat="false" ht="15" hidden="false" customHeight="false" outlineLevel="0" collapsed="false">
      <c r="A23" s="4" t="n">
        <v>63</v>
      </c>
      <c r="B23" s="5" t="s">
        <v>50</v>
      </c>
      <c r="C23" s="8" t="s">
        <v>53</v>
      </c>
      <c r="D23" s="7" t="s">
        <v>26</v>
      </c>
      <c r="E23" s="27" t="s">
        <v>107</v>
      </c>
    </row>
    <row r="24" customFormat="false" ht="15" hidden="false" customHeight="false" outlineLevel="0" collapsed="false">
      <c r="A24" s="4" t="n">
        <v>58</v>
      </c>
      <c r="B24" s="5" t="s">
        <v>54</v>
      </c>
      <c r="C24" s="8" t="s">
        <v>57</v>
      </c>
      <c r="D24" s="7" t="s">
        <v>32</v>
      </c>
      <c r="E24" s="28" t="s">
        <v>104</v>
      </c>
    </row>
    <row r="25" customFormat="false" ht="15" hidden="false" customHeight="false" outlineLevel="0" collapsed="false">
      <c r="A25" s="4" t="n">
        <v>61</v>
      </c>
      <c r="B25" s="5" t="s">
        <v>59</v>
      </c>
      <c r="C25" s="8" t="s">
        <v>62</v>
      </c>
      <c r="D25" s="7" t="s">
        <v>32</v>
      </c>
      <c r="E25" s="28" t="s">
        <v>104</v>
      </c>
    </row>
    <row r="26" customFormat="false" ht="15" hidden="false" customHeight="false" outlineLevel="0" collapsed="false">
      <c r="A26" s="4" t="n">
        <v>68</v>
      </c>
      <c r="B26" s="5" t="s">
        <v>63</v>
      </c>
      <c r="C26" s="8" t="s">
        <v>66</v>
      </c>
      <c r="D26" s="7" t="s">
        <v>26</v>
      </c>
      <c r="E26" s="27" t="s">
        <v>108</v>
      </c>
    </row>
    <row r="27" customFormat="false" ht="15" hidden="false" customHeight="false" outlineLevel="0" collapsed="false">
      <c r="A27" s="4" t="n">
        <v>60</v>
      </c>
      <c r="B27" s="5" t="s">
        <v>68</v>
      </c>
      <c r="C27" s="8" t="s">
        <v>70</v>
      </c>
      <c r="D27" s="7" t="s">
        <v>26</v>
      </c>
      <c r="E27" s="27" t="s">
        <v>105</v>
      </c>
    </row>
    <row r="28" customFormat="false" ht="15" hidden="false" customHeight="false" outlineLevel="0" collapsed="false">
      <c r="A28" s="4" t="n">
        <v>77</v>
      </c>
      <c r="B28" s="5" t="s">
        <v>71</v>
      </c>
      <c r="C28" s="8" t="s">
        <v>30</v>
      </c>
      <c r="D28" s="7" t="s">
        <v>26</v>
      </c>
      <c r="E28" s="28" t="s">
        <v>109</v>
      </c>
    </row>
    <row r="29" customFormat="false" ht="15" hidden="false" customHeight="false" outlineLevel="0" collapsed="false">
      <c r="A29" s="4" t="n">
        <v>78</v>
      </c>
      <c r="B29" s="5" t="s">
        <v>73</v>
      </c>
      <c r="C29" s="8" t="s">
        <v>76</v>
      </c>
      <c r="D29" s="7" t="s">
        <v>26</v>
      </c>
      <c r="E29" s="28" t="s">
        <v>110</v>
      </c>
    </row>
    <row r="30" customFormat="false" ht="15" hidden="false" customHeight="false" outlineLevel="0" collapsed="false">
      <c r="A30" s="4" t="n">
        <v>75</v>
      </c>
      <c r="B30" s="5" t="s">
        <v>80</v>
      </c>
      <c r="C30" s="8" t="s">
        <v>83</v>
      </c>
      <c r="D30" s="7" t="s">
        <v>26</v>
      </c>
      <c r="E30" s="28" t="s">
        <v>111</v>
      </c>
    </row>
    <row r="31" customFormat="false" ht="15" hidden="false" customHeight="false" outlineLevel="0" collapsed="false">
      <c r="A31" s="4" t="n">
        <v>70</v>
      </c>
      <c r="B31" s="5" t="s">
        <v>84</v>
      </c>
      <c r="C31" s="8" t="s">
        <v>87</v>
      </c>
      <c r="D31" s="7" t="s">
        <v>26</v>
      </c>
      <c r="E31" s="27" t="s">
        <v>112</v>
      </c>
    </row>
    <row r="34" customFormat="false" ht="21.75" hidden="false" customHeight="true" outlineLevel="0" collapsed="false">
      <c r="A34" s="29" t="s">
        <v>113</v>
      </c>
      <c r="B34" s="29"/>
      <c r="C34" s="29"/>
      <c r="D34" s="29"/>
      <c r="E34" s="29"/>
    </row>
    <row r="35" customFormat="false" ht="15" hidden="false" customHeight="false" outlineLevel="0" collapsed="false">
      <c r="A35" s="3" t="s">
        <v>2</v>
      </c>
      <c r="B35" s="3" t="s">
        <v>114</v>
      </c>
      <c r="C35" s="3" t="s">
        <v>115</v>
      </c>
      <c r="D35" s="3"/>
      <c r="E35" s="3" t="s">
        <v>116</v>
      </c>
    </row>
    <row r="36" customFormat="false" ht="15" hidden="false" customHeight="false" outlineLevel="0" collapsed="false">
      <c r="A36" s="4" t="n">
        <v>1</v>
      </c>
      <c r="B36" s="5" t="s">
        <v>93</v>
      </c>
      <c r="C36" s="7" t="n">
        <v>1</v>
      </c>
      <c r="D36" s="7"/>
      <c r="E36" s="23" t="n">
        <v>0.503891050583658</v>
      </c>
    </row>
    <row r="37" customFormat="false" ht="15" hidden="false" customHeight="false" outlineLevel="0" collapsed="false">
      <c r="A37" s="4" t="n">
        <v>2</v>
      </c>
      <c r="B37" s="5" t="s">
        <v>58</v>
      </c>
      <c r="C37" s="7" t="n">
        <v>1</v>
      </c>
      <c r="D37" s="7"/>
      <c r="E37" s="23" t="n">
        <v>0.498233215547703</v>
      </c>
    </row>
    <row r="38" customFormat="false" ht="15" hidden="false" customHeight="false" outlineLevel="0" collapsed="false">
      <c r="A38" s="4" t="n">
        <v>3</v>
      </c>
      <c r="B38" s="5" t="s">
        <v>88</v>
      </c>
      <c r="C38" s="7" t="n">
        <v>1</v>
      </c>
      <c r="D38" s="7"/>
      <c r="E38" s="23" t="n">
        <v>0.428474780124784</v>
      </c>
    </row>
    <row r="39" customFormat="false" ht="15" hidden="false" customHeight="false" outlineLevel="0" collapsed="false">
      <c r="A39" s="4" t="n">
        <v>4</v>
      </c>
      <c r="B39" s="5" t="s">
        <v>31</v>
      </c>
      <c r="C39" s="7" t="n">
        <v>4</v>
      </c>
      <c r="D39" s="7"/>
      <c r="E39" s="30" t="n">
        <v>0.355852619695181</v>
      </c>
    </row>
    <row r="40" customFormat="false" ht="15" hidden="false" customHeight="false" outlineLevel="0" collapsed="false">
      <c r="A40" s="4" t="n">
        <v>5</v>
      </c>
      <c r="B40" s="5" t="s">
        <v>67</v>
      </c>
      <c r="C40" s="7" t="n">
        <v>1</v>
      </c>
      <c r="D40" s="7"/>
      <c r="E40" s="30" t="n">
        <v>0.346088372437273</v>
      </c>
    </row>
    <row r="41" customFormat="false" ht="15" hidden="false" customHeight="false" outlineLevel="0" collapsed="false">
      <c r="A41" s="4" t="n">
        <v>6</v>
      </c>
      <c r="B41" s="5" t="s">
        <v>25</v>
      </c>
      <c r="C41" s="7" t="n">
        <v>9</v>
      </c>
      <c r="D41" s="7"/>
      <c r="E41" s="30" t="n">
        <v>0.30589536646319</v>
      </c>
    </row>
  </sheetData>
  <mergeCells count="5">
    <mergeCell ref="A1:E1"/>
    <mergeCell ref="A3:E3"/>
    <mergeCell ref="A11:E11"/>
    <mergeCell ref="A17:E17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117</v>
      </c>
      <c r="B1" s="1"/>
      <c r="C1" s="1"/>
      <c r="D1" s="1"/>
    </row>
    <row r="3" customFormat="false" ht="25.5" hidden="false" customHeight="true" outlineLevel="0" collapsed="false">
      <c r="A3" s="3" t="s">
        <v>118</v>
      </c>
      <c r="B3" s="3" t="s">
        <v>119</v>
      </c>
      <c r="C3" s="3" t="s">
        <v>120</v>
      </c>
      <c r="D3" s="3" t="s">
        <v>121</v>
      </c>
    </row>
    <row r="4" customFormat="false" ht="15" hidden="false" customHeight="false" outlineLevel="0" collapsed="false">
      <c r="A4" s="31" t="s">
        <v>122</v>
      </c>
      <c r="B4" s="32" t="n">
        <f aca="false">COUNTIF(Campaigns!G5:G21,"Chile")</f>
        <v>12</v>
      </c>
      <c r="C4" s="32" t="n">
        <f aca="false">COUNTIF(Campaigns!G5:G21,"Spain")</f>
        <v>5</v>
      </c>
      <c r="D4" s="33" t="s">
        <v>123</v>
      </c>
    </row>
    <row r="5" customFormat="false" ht="15" hidden="false" customHeight="false" outlineLevel="0" collapsed="false">
      <c r="A5" s="31" t="s">
        <v>124</v>
      </c>
      <c r="B5" s="32" t="n">
        <f aca="false">SUMIF(Campaigns!G5:G21,"Chile",Campaigns!H5:H21)</f>
        <v>151429</v>
      </c>
      <c r="C5" s="32" t="n">
        <f aca="false">SUMIF(Campaigns!G5:G21,"Spain",Campaigns!H5:H21)</f>
        <v>79080</v>
      </c>
      <c r="D5" s="33" t="s">
        <v>125</v>
      </c>
    </row>
    <row r="6" customFormat="false" ht="15" hidden="false" customHeight="false" outlineLevel="0" collapsed="false">
      <c r="A6" s="31" t="s">
        <v>126</v>
      </c>
      <c r="B6" s="34" t="n">
        <f aca="false">AVERAGEIF(Campaigns!G5:G21,"Chile",Campaigns!I5:I21)</f>
        <v>0.958875</v>
      </c>
      <c r="C6" s="34" t="n">
        <f aca="false">AVERAGEIF(Campaigns!G5:G21,"Spain",Campaigns!I5:I21)</f>
        <v>0.9413</v>
      </c>
      <c r="D6" s="33" t="s">
        <v>127</v>
      </c>
    </row>
    <row r="7" customFormat="false" ht="15" hidden="false" customHeight="false" outlineLevel="0" collapsed="false">
      <c r="A7" s="31" t="s">
        <v>128</v>
      </c>
      <c r="B7" s="32" t="n">
        <f aca="false">SUMIF(Campaigns!G5:G21,"Chile",Campaigns!J5:J21)</f>
        <v>49004</v>
      </c>
      <c r="C7" s="32" t="n">
        <f aca="false">SUMIF(Campaigns!G5:G21,"Spain",Campaigns!J5:J21)</f>
        <v>28302</v>
      </c>
      <c r="D7" s="33" t="s">
        <v>129</v>
      </c>
    </row>
    <row r="8" customFormat="false" ht="15" hidden="false" customHeight="false" outlineLevel="0" collapsed="false">
      <c r="A8" s="31" t="s">
        <v>130</v>
      </c>
      <c r="B8" s="34" t="n">
        <f aca="false">B7/B5</f>
        <v>0.323610404876213</v>
      </c>
      <c r="C8" s="34" t="n">
        <f aca="false">C7/C5</f>
        <v>0.357890743550835</v>
      </c>
      <c r="D8" s="33" t="s">
        <v>131</v>
      </c>
    </row>
    <row r="9" customFormat="false" ht="15" hidden="false" customHeight="false" outlineLevel="0" collapsed="false">
      <c r="A9" s="31" t="s">
        <v>132</v>
      </c>
      <c r="B9" s="32" t="n">
        <f aca="false">SUMIF(Campaigns!G5:G21,"Chile",Campaigns!L5:L21)</f>
        <v>135961</v>
      </c>
      <c r="C9" s="32" t="n">
        <f aca="false">SUMIF(Campaigns!G5:G21,"Spain",Campaigns!L5:L21)</f>
        <v>7202</v>
      </c>
      <c r="D9" s="33" t="s">
        <v>133</v>
      </c>
    </row>
    <row r="10" customFormat="false" ht="15" hidden="false" customHeight="false" outlineLevel="0" collapsed="false">
      <c r="A10" s="31" t="s">
        <v>134</v>
      </c>
      <c r="B10" s="34" t="n">
        <f aca="false">B9/B5</f>
        <v>0.897853119283625</v>
      </c>
      <c r="C10" s="34" t="n">
        <f aca="false">C9/C5</f>
        <v>0.0910723318158827</v>
      </c>
      <c r="D10" s="33" t="s">
        <v>135</v>
      </c>
    </row>
    <row r="11" customFormat="false" ht="15" hidden="false" customHeight="false" outlineLevel="0" collapsed="false">
      <c r="A11" s="31" t="s">
        <v>136</v>
      </c>
      <c r="B11" s="32" t="n">
        <f aca="false">SUMIF(Campaigns!G5:G21,"Chile",Campaigns!P5:P21)</f>
        <v>605</v>
      </c>
      <c r="C11" s="32" t="n">
        <f aca="false">SUMIF(Campaigns!G5:G21,"Spain",Campaigns!P5:P21)</f>
        <v>399</v>
      </c>
      <c r="D11" s="33" t="s">
        <v>137</v>
      </c>
    </row>
    <row r="12" customFormat="false" ht="15" hidden="false" customHeight="false" outlineLevel="0" collapsed="false">
      <c r="A12" s="31" t="s">
        <v>138</v>
      </c>
      <c r="B12" s="34" t="n">
        <f aca="false">B11/B5</f>
        <v>0.00399527171149516</v>
      </c>
      <c r="C12" s="34" t="n">
        <f aca="false">C11/C5</f>
        <v>0.00504552352048558</v>
      </c>
      <c r="D12" s="33" t="s">
        <v>139</v>
      </c>
    </row>
    <row r="13" customFormat="false" ht="15" hidden="false" customHeight="false" outlineLevel="0" collapsed="false">
      <c r="A13" s="31" t="s">
        <v>140</v>
      </c>
      <c r="B13" s="32" t="n">
        <f aca="false">B5/B4</f>
        <v>12619.0833333333</v>
      </c>
      <c r="C13" s="32" t="n">
        <f aca="false">C5/C4</f>
        <v>15816</v>
      </c>
      <c r="D13" s="33" t="s">
        <v>141</v>
      </c>
    </row>
    <row r="15" customFormat="false" ht="21.75" hidden="false" customHeight="true" outlineLevel="0" collapsed="false">
      <c r="A15" s="29" t="s">
        <v>142</v>
      </c>
      <c r="B15" s="29"/>
      <c r="C15" s="29"/>
      <c r="D15" s="29"/>
    </row>
    <row r="16" customFormat="false" ht="21.75" hidden="false" customHeight="true" outlineLevel="0" collapsed="false">
      <c r="A16" s="35" t="s">
        <v>143</v>
      </c>
      <c r="B16" s="35"/>
      <c r="C16" s="35"/>
      <c r="D16" s="35"/>
    </row>
    <row r="17" customFormat="false" ht="21.75" hidden="false" customHeight="true" outlineLevel="0" collapsed="false">
      <c r="A17" s="35" t="s">
        <v>144</v>
      </c>
      <c r="B17" s="35"/>
      <c r="C17" s="35"/>
      <c r="D17" s="35"/>
    </row>
    <row r="18" customFormat="false" ht="21.75" hidden="false" customHeight="true" outlineLevel="0" collapsed="false">
      <c r="A18" s="35" t="s">
        <v>145</v>
      </c>
      <c r="B18" s="35"/>
      <c r="C18" s="35"/>
      <c r="D18" s="35"/>
    </row>
    <row r="19" customFormat="false" ht="21.75" hidden="false" customHeight="true" outlineLevel="0" collapsed="false">
      <c r="A19" s="35" t="s">
        <v>146</v>
      </c>
      <c r="B19" s="35"/>
      <c r="C19" s="35"/>
      <c r="D19" s="35"/>
    </row>
    <row r="20" customFormat="false" ht="21.75" hidden="false" customHeight="true" outlineLevel="0" collapsed="false">
      <c r="A20" s="35" t="s">
        <v>147</v>
      </c>
      <c r="B20" s="35"/>
      <c r="C20" s="35"/>
      <c r="D20" s="35"/>
    </row>
  </sheetData>
  <mergeCells count="7">
    <mergeCell ref="A1:D1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2026-05-18T10:03:21Z</dcterms:created>
  <dc:creator>openpyxl</dc:creator>
  <dc:description/>
  <dc:language>en-US</dc:language>
  <cp:lastModifiedBy/>
  <dcterms:modified xsi:type="dcterms:W3CDTF">2026-05-18T10:03:21Z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